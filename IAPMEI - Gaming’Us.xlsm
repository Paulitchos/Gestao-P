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serco\Downloads\"/>
    </mc:Choice>
  </mc:AlternateContent>
  <xr:revisionPtr revIDLastSave="0" documentId="13_ncr:1_{CED8359B-632B-493F-9433-496F12DA91C8}" xr6:coauthVersionLast="47" xr6:coauthVersionMax="47" xr10:uidLastSave="{00000000-0000-0000-0000-000000000000}"/>
  <bookViews>
    <workbookView xWindow="-120" yWindow="-120" windowWidth="20730" windowHeight="11160" tabRatio="844" activeTab="2"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 Aux_outros" sheetId="53" r:id="rId17"/>
  </sheets>
  <functionGroups builtInGroupCount="19"/>
  <externalReferences>
    <externalReference r:id="rId18"/>
    <externalReference r:id="rId19"/>
  </externalReferences>
  <definedNames>
    <definedName name="AnoN" localSheetId="14">'[1]A. Pressupostos'!$E$4</definedName>
    <definedName name="AnoN" localSheetId="15">'[1]A. Pressupostos'!$E$4</definedName>
    <definedName name="AnoN" localSheetId="16">'[1]A. Pressupostos'!$E$4</definedName>
    <definedName name="AnoN">Pressupostos!$G$4</definedName>
    <definedName name="areas" localSheetId="14">#REF!</definedName>
    <definedName name="areas" localSheetId="15">#REF!</definedName>
    <definedName name="areas" localSheetId="16">#REF!</definedName>
    <definedName name="areas">#REF!</definedName>
    <definedName name="Áreas" localSheetId="14">#REF!</definedName>
    <definedName name="Áreas" localSheetId="15">#REF!</definedName>
    <definedName name="Áreas" localSheetId="16">#REF!</definedName>
    <definedName name="Áreas">#REF!</definedName>
    <definedName name="emprestimo">Pressupostos!$C$282</definedName>
    <definedName name="fimSomas">#REF!</definedName>
    <definedName name="IncioEmprestimo">'7. Serviço da Dívida'!$C$23</definedName>
    <definedName name="InicioSomas">Pressupostos!$D$280</definedName>
    <definedName name="Ponto">'4. Rácios Financeiros'!$E$30</definedName>
    <definedName name="YesNo" localSheetId="14">#REF!</definedName>
    <definedName name="YesNo" localSheetId="15">#REF!</definedName>
    <definedName name="YesNo" localSheetId="16">#REF!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3" i="29" l="1"/>
  <c r="H61" i="29" l="1"/>
  <c r="I61" i="29" s="1"/>
  <c r="J61" i="29" s="1"/>
  <c r="K61" i="29" s="1"/>
  <c r="L61" i="29" s="1"/>
  <c r="G60" i="29"/>
  <c r="H62" i="29"/>
  <c r="I62" i="29" s="1"/>
  <c r="J62" i="29" s="1"/>
  <c r="K62" i="29" s="1"/>
  <c r="L62" i="29" s="1"/>
  <c r="G59" i="29"/>
  <c r="G4" i="29"/>
  <c r="H74" i="29"/>
  <c r="I74" i="29" s="1"/>
  <c r="J74" i="29" s="1"/>
  <c r="K74" i="29" s="1"/>
  <c r="L74" i="29" s="1"/>
  <c r="I73" i="29"/>
  <c r="J73" i="29" s="1"/>
  <c r="K73" i="29" s="1"/>
  <c r="L73" i="29" s="1"/>
  <c r="H68" i="29"/>
  <c r="I68" i="29" s="1"/>
  <c r="J68" i="29" s="1"/>
  <c r="K68" i="29" s="1"/>
  <c r="L68" i="29" s="1"/>
  <c r="H67" i="29"/>
  <c r="I67" i="29" s="1"/>
  <c r="J67" i="29" s="1"/>
  <c r="K67" i="29" s="1"/>
  <c r="L67" i="29" s="1"/>
  <c r="H57" i="29"/>
  <c r="I57" i="29" s="1"/>
  <c r="J57" i="29" s="1"/>
  <c r="K57" i="29" s="1"/>
  <c r="L57" i="29" s="1"/>
  <c r="I56" i="29"/>
  <c r="J56" i="29" s="1"/>
  <c r="K56" i="29" s="1"/>
  <c r="L56" i="29" s="1"/>
  <c r="H56" i="29"/>
  <c r="D56" i="51"/>
  <c r="E55" i="51"/>
  <c r="E57" i="51" s="1"/>
  <c r="D55" i="51"/>
  <c r="D57" i="51" s="1"/>
  <c r="D58" i="51" s="1"/>
  <c r="E52" i="51"/>
  <c r="F52" i="51" s="1"/>
  <c r="F55" i="51" s="1"/>
  <c r="E36" i="51"/>
  <c r="E33" i="51"/>
  <c r="D33" i="51"/>
  <c r="E27" i="51"/>
  <c r="G23" i="51"/>
  <c r="E22" i="51"/>
  <c r="E28" i="51" s="1"/>
  <c r="D94" i="50"/>
  <c r="D95" i="50" s="1"/>
  <c r="D96" i="50" s="1"/>
  <c r="E93" i="50"/>
  <c r="F93" i="50" s="1"/>
  <c r="E92" i="50"/>
  <c r="F92" i="50" s="1"/>
  <c r="G92" i="50" s="1"/>
  <c r="H92" i="50" s="1"/>
  <c r="I92" i="50" s="1"/>
  <c r="J92" i="50" s="1"/>
  <c r="K92" i="50" s="1"/>
  <c r="E91" i="50"/>
  <c r="F91" i="50" s="1"/>
  <c r="G90" i="50"/>
  <c r="H90" i="50" s="1"/>
  <c r="I90" i="50" s="1"/>
  <c r="J90" i="50" s="1"/>
  <c r="K90" i="50" s="1"/>
  <c r="D72" i="50"/>
  <c r="C45" i="50"/>
  <c r="C55" i="50" s="1"/>
  <c r="C65" i="50" s="1"/>
  <c r="C75" i="50" s="1"/>
  <c r="C44" i="50"/>
  <c r="C54" i="50" s="1"/>
  <c r="C64" i="50" s="1"/>
  <c r="C74" i="50" s="1"/>
  <c r="C43" i="50"/>
  <c r="C53" i="50" s="1"/>
  <c r="C63" i="50" s="1"/>
  <c r="C73" i="50" s="1"/>
  <c r="C42" i="50"/>
  <c r="C52" i="50" s="1"/>
  <c r="C62" i="50" s="1"/>
  <c r="C72" i="50" s="1"/>
  <c r="C41" i="50"/>
  <c r="C51" i="50" s="1"/>
  <c r="C61" i="50" s="1"/>
  <c r="C71" i="50" s="1"/>
  <c r="C40" i="50"/>
  <c r="C50" i="50" s="1"/>
  <c r="C60" i="50" s="1"/>
  <c r="C70" i="50" s="1"/>
  <c r="C39" i="50"/>
  <c r="C49" i="50" s="1"/>
  <c r="C59" i="50" s="1"/>
  <c r="C69" i="50" s="1"/>
  <c r="J35" i="50"/>
  <c r="J54" i="50" s="1"/>
  <c r="J74" i="50" s="1"/>
  <c r="I35" i="50"/>
  <c r="I53" i="50" s="1"/>
  <c r="I73" i="50" s="1"/>
  <c r="H35" i="50"/>
  <c r="H54" i="50" s="1"/>
  <c r="H74" i="50" s="1"/>
  <c r="G35" i="50"/>
  <c r="G55" i="50" s="1"/>
  <c r="G75" i="50" s="1"/>
  <c r="F35" i="50"/>
  <c r="F55" i="50" s="1"/>
  <c r="F75" i="50" s="1"/>
  <c r="E35" i="50"/>
  <c r="E55" i="50" s="1"/>
  <c r="E75" i="50" s="1"/>
  <c r="D35" i="50"/>
  <c r="D53" i="50" s="1"/>
  <c r="J34" i="50"/>
  <c r="J38" i="50" s="1"/>
  <c r="I34" i="50"/>
  <c r="I38" i="50" s="1"/>
  <c r="H34" i="50"/>
  <c r="H68" i="50" s="1"/>
  <c r="G34" i="50"/>
  <c r="G68" i="50" s="1"/>
  <c r="F34" i="50"/>
  <c r="F68" i="50" s="1"/>
  <c r="E34" i="50"/>
  <c r="E68" i="50" s="1"/>
  <c r="D34" i="50"/>
  <c r="D48" i="50" s="1"/>
  <c r="H59" i="29" l="1"/>
  <c r="H60" i="29" s="1"/>
  <c r="I59" i="29"/>
  <c r="I60" i="29" s="1"/>
  <c r="F38" i="50"/>
  <c r="G48" i="50"/>
  <c r="F50" i="50"/>
  <c r="F70" i="50" s="1"/>
  <c r="H48" i="50"/>
  <c r="G50" i="50"/>
  <c r="G70" i="50" s="1"/>
  <c r="E52" i="50"/>
  <c r="E72" i="50" s="1"/>
  <c r="H55" i="50"/>
  <c r="H75" i="50" s="1"/>
  <c r="E49" i="50"/>
  <c r="E69" i="50" s="1"/>
  <c r="I50" i="50"/>
  <c r="I70" i="50" s="1"/>
  <c r="F52" i="50"/>
  <c r="F72" i="50" s="1"/>
  <c r="I55" i="50"/>
  <c r="I75" i="50" s="1"/>
  <c r="D38" i="50"/>
  <c r="F49" i="50"/>
  <c r="F69" i="50" s="1"/>
  <c r="H52" i="50"/>
  <c r="H72" i="50" s="1"/>
  <c r="E38" i="50"/>
  <c r="G49" i="50"/>
  <c r="G69" i="50" s="1"/>
  <c r="D51" i="50"/>
  <c r="D71" i="50" s="1"/>
  <c r="H49" i="50"/>
  <c r="H69" i="50" s="1"/>
  <c r="E51" i="50"/>
  <c r="E71" i="50" s="1"/>
  <c r="H38" i="50"/>
  <c r="E48" i="50"/>
  <c r="D50" i="50"/>
  <c r="F51" i="50"/>
  <c r="F71" i="50" s="1"/>
  <c r="F54" i="50"/>
  <c r="F74" i="50" s="1"/>
  <c r="F48" i="50"/>
  <c r="E50" i="50"/>
  <c r="E70" i="50" s="1"/>
  <c r="H51" i="50"/>
  <c r="H71" i="50" s="1"/>
  <c r="I54" i="50"/>
  <c r="I74" i="50" s="1"/>
  <c r="E58" i="51"/>
  <c r="F57" i="51"/>
  <c r="F58" i="51" s="1"/>
  <c r="F56" i="51"/>
  <c r="E56" i="51"/>
  <c r="D73" i="50"/>
  <c r="G91" i="50"/>
  <c r="F94" i="50"/>
  <c r="F95" i="50" s="1"/>
  <c r="F96" i="50" s="1"/>
  <c r="I68" i="50"/>
  <c r="J55" i="50"/>
  <c r="J75" i="50" s="1"/>
  <c r="E53" i="50"/>
  <c r="E73" i="50" s="1"/>
  <c r="D54" i="50"/>
  <c r="D68" i="50"/>
  <c r="G38" i="50"/>
  <c r="I48" i="50"/>
  <c r="I49" i="50"/>
  <c r="I69" i="50" s="1"/>
  <c r="H50" i="50"/>
  <c r="H70" i="50" s="1"/>
  <c r="H77" i="50" s="1"/>
  <c r="G51" i="50"/>
  <c r="G52" i="50"/>
  <c r="F53" i="50"/>
  <c r="F73" i="50" s="1"/>
  <c r="E54" i="50"/>
  <c r="E74" i="50" s="1"/>
  <c r="D55" i="50"/>
  <c r="D70" i="50"/>
  <c r="E94" i="50"/>
  <c r="E95" i="50" s="1"/>
  <c r="E96" i="50" s="1"/>
  <c r="J68" i="50"/>
  <c r="J49" i="50"/>
  <c r="J69" i="50" s="1"/>
  <c r="J50" i="50"/>
  <c r="J70" i="50" s="1"/>
  <c r="I51" i="50"/>
  <c r="I71" i="50" s="1"/>
  <c r="I52" i="50"/>
  <c r="I72" i="50" s="1"/>
  <c r="H53" i="50"/>
  <c r="H73" i="50" s="1"/>
  <c r="G54" i="50"/>
  <c r="G74" i="50" s="1"/>
  <c r="G93" i="50"/>
  <c r="J48" i="50"/>
  <c r="G53" i="50"/>
  <c r="G73" i="50" s="1"/>
  <c r="D49" i="50"/>
  <c r="J51" i="50"/>
  <c r="J71" i="50" s="1"/>
  <c r="J52" i="50"/>
  <c r="J72" i="50" s="1"/>
  <c r="J53" i="50"/>
  <c r="J73" i="50" s="1"/>
  <c r="J59" i="29" l="1"/>
  <c r="J60" i="29" s="1"/>
  <c r="F77" i="50"/>
  <c r="E77" i="50"/>
  <c r="K73" i="50"/>
  <c r="K49" i="50"/>
  <c r="D69" i="50"/>
  <c r="G72" i="50"/>
  <c r="K72" i="50" s="1"/>
  <c r="K52" i="50"/>
  <c r="K50" i="50"/>
  <c r="J77" i="50"/>
  <c r="G71" i="50"/>
  <c r="K51" i="50"/>
  <c r="D74" i="50"/>
  <c r="K74" i="50" s="1"/>
  <c r="K54" i="50"/>
  <c r="I77" i="50"/>
  <c r="H91" i="50"/>
  <c r="G94" i="50"/>
  <c r="G95" i="50" s="1"/>
  <c r="G96" i="50" s="1"/>
  <c r="H93" i="50"/>
  <c r="K70" i="50"/>
  <c r="D75" i="50"/>
  <c r="K75" i="50" s="1"/>
  <c r="K55" i="50"/>
  <c r="K53" i="50"/>
  <c r="K59" i="29" l="1"/>
  <c r="K60" i="29" s="1"/>
  <c r="L59" i="29"/>
  <c r="L60" i="29" s="1"/>
  <c r="G77" i="50"/>
  <c r="K71" i="50"/>
  <c r="I93" i="50"/>
  <c r="I91" i="50"/>
  <c r="H94" i="50"/>
  <c r="H95" i="50" s="1"/>
  <c r="H96" i="50" s="1"/>
  <c r="D77" i="50"/>
  <c r="K69" i="50"/>
  <c r="K77" i="50" l="1"/>
  <c r="D83" i="50" s="1"/>
  <c r="J93" i="50"/>
  <c r="I94" i="50"/>
  <c r="I95" i="50" s="1"/>
  <c r="I96" i="50" s="1"/>
  <c r="J91" i="50"/>
  <c r="K93" i="50" l="1"/>
  <c r="E83" i="50"/>
  <c r="D84" i="50"/>
  <c r="D85" i="50" s="1"/>
  <c r="J94" i="50"/>
  <c r="J95" i="50" s="1"/>
  <c r="J96" i="50" s="1"/>
  <c r="K91" i="50"/>
  <c r="K94" i="50" s="1"/>
  <c r="D86" i="50" l="1"/>
  <c r="D35" i="51"/>
  <c r="D38" i="51" s="1"/>
  <c r="E84" i="50"/>
  <c r="E85" i="50" s="1"/>
  <c r="K95" i="50"/>
  <c r="K96" i="50" s="1"/>
  <c r="D39" i="51" l="1"/>
  <c r="D42" i="51"/>
  <c r="D43" i="51" s="1"/>
  <c r="E86" i="50"/>
  <c r="E35" i="51"/>
  <c r="E38" i="51" s="1"/>
  <c r="H166" i="29"/>
  <c r="G165" i="29"/>
  <c r="F222" i="29"/>
  <c r="K58" i="41"/>
  <c r="E42" i="51" l="1"/>
  <c r="E43" i="51" s="1"/>
  <c r="E39" i="51"/>
  <c r="K72" i="41"/>
  <c r="K65" i="41"/>
  <c r="K51" i="41"/>
  <c r="J53" i="36"/>
  <c r="L254" i="29"/>
  <c r="L253" i="29"/>
  <c r="L262" i="29" s="1"/>
  <c r="J7" i="30"/>
  <c r="J38" i="36"/>
  <c r="J17" i="36"/>
  <c r="K115" i="41"/>
  <c r="K86" i="41"/>
  <c r="K19" i="41"/>
  <c r="K18" i="41"/>
  <c r="K17" i="41"/>
  <c r="K16" i="41"/>
  <c r="K14" i="41"/>
  <c r="K13" i="41"/>
  <c r="K12" i="41"/>
  <c r="K11" i="41"/>
  <c r="K10" i="41"/>
  <c r="K9" i="41"/>
  <c r="K8" i="41"/>
  <c r="L213" i="29"/>
  <c r="K7" i="41" s="1"/>
  <c r="L212" i="29"/>
  <c r="L159" i="29"/>
  <c r="L158" i="29"/>
  <c r="L157" i="29"/>
  <c r="L156" i="29"/>
  <c r="L155" i="29"/>
  <c r="K159" i="29"/>
  <c r="K158" i="29"/>
  <c r="K157" i="29"/>
  <c r="K156" i="29"/>
  <c r="K155" i="29"/>
  <c r="J159" i="29"/>
  <c r="J158" i="29"/>
  <c r="J157" i="29"/>
  <c r="J156" i="29"/>
  <c r="J155" i="29"/>
  <c r="I159" i="29"/>
  <c r="I158" i="29"/>
  <c r="I157" i="29"/>
  <c r="I156" i="29"/>
  <c r="I155" i="29"/>
  <c r="L169" i="29"/>
  <c r="L168" i="29"/>
  <c r="L167" i="29"/>
  <c r="L166" i="29"/>
  <c r="L165" i="29"/>
  <c r="J165" i="29"/>
  <c r="L141" i="29"/>
  <c r="L140" i="29" s="1"/>
  <c r="L139" i="29"/>
  <c r="L138" i="29"/>
  <c r="L137" i="29"/>
  <c r="L136" i="29"/>
  <c r="L135" i="29"/>
  <c r="L134" i="29"/>
  <c r="L133" i="29"/>
  <c r="L131" i="29"/>
  <c r="L130" i="29"/>
  <c r="L129" i="29"/>
  <c r="L127" i="29"/>
  <c r="L126" i="29"/>
  <c r="L125" i="29"/>
  <c r="L123" i="29"/>
  <c r="L122" i="29"/>
  <c r="L121" i="29"/>
  <c r="L120" i="29"/>
  <c r="L118" i="29"/>
  <c r="L117" i="29"/>
  <c r="L116" i="29"/>
  <c r="L115" i="29"/>
  <c r="L114" i="29"/>
  <c r="L113" i="29"/>
  <c r="L111" i="29"/>
  <c r="D37" i="35"/>
  <c r="D25" i="35"/>
  <c r="L128" i="29" l="1"/>
  <c r="L132" i="29"/>
  <c r="L124" i="29"/>
  <c r="L119" i="29"/>
  <c r="L112" i="29"/>
  <c r="L109" i="29"/>
  <c r="L110" i="29"/>
  <c r="L108" i="29" l="1"/>
  <c r="J12" i="30" s="1"/>
  <c r="G15" i="29"/>
  <c r="D288" i="29" l="1"/>
  <c r="D282" i="29"/>
  <c r="D27" i="35" l="1"/>
  <c r="K254" i="29" l="1"/>
  <c r="J254" i="29"/>
  <c r="I254" i="29"/>
  <c r="H254" i="29"/>
  <c r="G254" i="29"/>
  <c r="D16" i="35"/>
  <c r="E21" i="35" s="1"/>
  <c r="C165" i="29"/>
  <c r="C166" i="29"/>
  <c r="C167" i="29"/>
  <c r="C168" i="29"/>
  <c r="C169" i="29"/>
  <c r="C159" i="29"/>
  <c r="C158" i="29"/>
  <c r="C157" i="29"/>
  <c r="C156" i="29"/>
  <c r="C155" i="29"/>
  <c r="F39" i="41" l="1"/>
  <c r="F46" i="41"/>
  <c r="F53" i="41"/>
  <c r="F60" i="41"/>
  <c r="F67" i="41"/>
  <c r="F74" i="41"/>
  <c r="F81" i="41"/>
  <c r="F89" i="41"/>
  <c r="F88" i="41" s="1"/>
  <c r="F96" i="41"/>
  <c r="F103" i="41"/>
  <c r="F110" i="41"/>
  <c r="J43" i="41"/>
  <c r="K43" i="41" s="1"/>
  <c r="I42" i="41"/>
  <c r="H41" i="41"/>
  <c r="G40" i="41"/>
  <c r="J50" i="41"/>
  <c r="K50" i="41" s="1"/>
  <c r="I49" i="41"/>
  <c r="H48" i="41"/>
  <c r="G47" i="41"/>
  <c r="J57" i="41"/>
  <c r="K57" i="41" s="1"/>
  <c r="I56" i="41"/>
  <c r="H55" i="41"/>
  <c r="G54" i="41"/>
  <c r="J64" i="41"/>
  <c r="I63" i="41"/>
  <c r="J63" i="41" s="1"/>
  <c r="H62" i="41"/>
  <c r="I62" i="41" s="1"/>
  <c r="G61" i="41"/>
  <c r="H61" i="41" s="1"/>
  <c r="J71" i="41"/>
  <c r="I70" i="41"/>
  <c r="J70" i="41" s="1"/>
  <c r="H69" i="41"/>
  <c r="I69" i="41" s="1"/>
  <c r="G68" i="41"/>
  <c r="H68" i="41" s="1"/>
  <c r="J78" i="41"/>
  <c r="I77" i="41"/>
  <c r="J77" i="41" s="1"/>
  <c r="H76" i="41"/>
  <c r="I76" i="41" s="1"/>
  <c r="G75" i="41"/>
  <c r="H75" i="41" s="1"/>
  <c r="J85" i="41"/>
  <c r="K85" i="41" s="1"/>
  <c r="I84" i="41"/>
  <c r="H83" i="41"/>
  <c r="G82" i="41"/>
  <c r="J93" i="41"/>
  <c r="I92" i="41"/>
  <c r="J92" i="41" s="1"/>
  <c r="H91" i="41"/>
  <c r="I91" i="41" s="1"/>
  <c r="G90" i="41"/>
  <c r="H90" i="41" s="1"/>
  <c r="J100" i="41"/>
  <c r="I99" i="41"/>
  <c r="J99" i="41" s="1"/>
  <c r="H98" i="41"/>
  <c r="I98" i="41" s="1"/>
  <c r="G97" i="41"/>
  <c r="H97" i="41" s="1"/>
  <c r="J107" i="41"/>
  <c r="I106" i="41"/>
  <c r="J106" i="41" s="1"/>
  <c r="H105" i="41"/>
  <c r="I105" i="41" s="1"/>
  <c r="G104" i="41"/>
  <c r="H104" i="41" s="1"/>
  <c r="H82" i="41" l="1"/>
  <c r="I82" i="41" s="1"/>
  <c r="J82" i="41" s="1"/>
  <c r="H54" i="41"/>
  <c r="I54" i="41" s="1"/>
  <c r="H47" i="41"/>
  <c r="I47" i="41" s="1"/>
  <c r="H40" i="41"/>
  <c r="I40" i="41" s="1"/>
  <c r="I83" i="41"/>
  <c r="J83" i="41" s="1"/>
  <c r="K83" i="41" s="1"/>
  <c r="I48" i="41"/>
  <c r="I41" i="41"/>
  <c r="J41" i="41" s="1"/>
  <c r="K41" i="41" s="1"/>
  <c r="J84" i="41"/>
  <c r="K84" i="41" s="1"/>
  <c r="J56" i="41"/>
  <c r="K56" i="41" s="1"/>
  <c r="J49" i="41"/>
  <c r="K49" i="41" s="1"/>
  <c r="J42" i="41"/>
  <c r="K42" i="41" s="1"/>
  <c r="I55" i="41"/>
  <c r="J55" i="41" s="1"/>
  <c r="J62" i="41"/>
  <c r="I61" i="41"/>
  <c r="J69" i="41"/>
  <c r="I68" i="41"/>
  <c r="J68" i="41" s="1"/>
  <c r="K79" i="41"/>
  <c r="J76" i="41"/>
  <c r="I75" i="41"/>
  <c r="J75" i="41" s="1"/>
  <c r="J91" i="41"/>
  <c r="I90" i="41"/>
  <c r="J98" i="41"/>
  <c r="I97" i="41"/>
  <c r="J105" i="41"/>
  <c r="I104" i="41"/>
  <c r="K55" i="41" l="1"/>
  <c r="J47" i="41"/>
  <c r="K47" i="41" s="1"/>
  <c r="K82" i="41"/>
  <c r="J48" i="41"/>
  <c r="K48" i="41" s="1"/>
  <c r="J40" i="41"/>
  <c r="K40" i="41" s="1"/>
  <c r="K64" i="41"/>
  <c r="J54" i="41"/>
  <c r="K54" i="41" s="1"/>
  <c r="K63" i="41"/>
  <c r="J61" i="41"/>
  <c r="K76" i="41"/>
  <c r="K78" i="41"/>
  <c r="K94" i="41"/>
  <c r="K93" i="41"/>
  <c r="K92" i="41"/>
  <c r="J90" i="41"/>
  <c r="K101" i="41"/>
  <c r="K100" i="41"/>
  <c r="K99" i="41"/>
  <c r="J97" i="41"/>
  <c r="K108" i="41"/>
  <c r="J104" i="41"/>
  <c r="J114" i="41"/>
  <c r="I113" i="41"/>
  <c r="J113" i="41" s="1"/>
  <c r="N115" i="41"/>
  <c r="M115" i="41"/>
  <c r="M114" i="41"/>
  <c r="H112" i="41"/>
  <c r="G111" i="41"/>
  <c r="H111" i="41" s="1"/>
  <c r="C68" i="34"/>
  <c r="C21" i="34"/>
  <c r="C20" i="34"/>
  <c r="C4" i="34"/>
  <c r="E32" i="46"/>
  <c r="J14" i="46"/>
  <c r="F5" i="46"/>
  <c r="G5" i="46" s="1"/>
  <c r="H5" i="46" s="1"/>
  <c r="I5" i="46" s="1"/>
  <c r="J5" i="46" s="1"/>
  <c r="C4" i="46"/>
  <c r="I53" i="36"/>
  <c r="H53" i="36"/>
  <c r="G53" i="36"/>
  <c r="F53" i="36"/>
  <c r="E53" i="36"/>
  <c r="C49" i="36"/>
  <c r="I38" i="36"/>
  <c r="H38" i="36"/>
  <c r="G38" i="36"/>
  <c r="F38" i="36"/>
  <c r="I17" i="36"/>
  <c r="H17" i="36"/>
  <c r="G17" i="36"/>
  <c r="F17" i="36"/>
  <c r="E10" i="36"/>
  <c r="C4" i="36"/>
  <c r="J103" i="32"/>
  <c r="I103" i="32"/>
  <c r="H103" i="32"/>
  <c r="G103" i="32"/>
  <c r="F103" i="32"/>
  <c r="J101" i="32"/>
  <c r="J102" i="32" s="1"/>
  <c r="I101" i="32"/>
  <c r="I102" i="32" s="1"/>
  <c r="H101" i="32"/>
  <c r="H102" i="32" s="1"/>
  <c r="G101" i="32"/>
  <c r="G102" i="32" s="1"/>
  <c r="F101" i="32"/>
  <c r="F102" i="32" s="1"/>
  <c r="E101" i="32"/>
  <c r="C69" i="32"/>
  <c r="F5" i="32"/>
  <c r="G5" i="32" s="1"/>
  <c r="H5" i="32" s="1"/>
  <c r="I5" i="32" s="1"/>
  <c r="J5" i="32" s="1"/>
  <c r="C4" i="32"/>
  <c r="D36" i="35"/>
  <c r="D35" i="35"/>
  <c r="D26" i="35"/>
  <c r="D24" i="35"/>
  <c r="E19" i="35"/>
  <c r="F5" i="35"/>
  <c r="G5" i="35" s="1"/>
  <c r="H5" i="35" s="1"/>
  <c r="I5" i="35" s="1"/>
  <c r="C4" i="35"/>
  <c r="C4" i="31"/>
  <c r="I7" i="30"/>
  <c r="H7" i="30"/>
  <c r="G7" i="30"/>
  <c r="F7" i="30"/>
  <c r="E7" i="30"/>
  <c r="F5" i="30"/>
  <c r="G5" i="30" s="1"/>
  <c r="H5" i="30" s="1"/>
  <c r="C4" i="30"/>
  <c r="E33" i="37"/>
  <c r="F5" i="37"/>
  <c r="G5" i="37" s="1"/>
  <c r="H5" i="37" s="1"/>
  <c r="I5" i="37" s="1"/>
  <c r="J5" i="37" s="1"/>
  <c r="C4" i="37"/>
  <c r="E13" i="42"/>
  <c r="E34" i="37" s="1"/>
  <c r="E12" i="42"/>
  <c r="E8" i="42"/>
  <c r="C4" i="42"/>
  <c r="K128" i="41"/>
  <c r="J128" i="41"/>
  <c r="I128" i="41"/>
  <c r="H128" i="41"/>
  <c r="G128" i="41"/>
  <c r="F128" i="41"/>
  <c r="D127" i="41"/>
  <c r="J127" i="41" s="1"/>
  <c r="D126" i="41"/>
  <c r="D125" i="41"/>
  <c r="D124" i="41"/>
  <c r="D123" i="41"/>
  <c r="D122" i="41"/>
  <c r="D121" i="41"/>
  <c r="D120" i="41"/>
  <c r="D119" i="41"/>
  <c r="J119" i="41" s="1"/>
  <c r="D118" i="41"/>
  <c r="J19" i="41"/>
  <c r="I19" i="41"/>
  <c r="H19" i="41"/>
  <c r="G19" i="41"/>
  <c r="F19" i="41"/>
  <c r="J18" i="41"/>
  <c r="I18" i="41"/>
  <c r="H18" i="41"/>
  <c r="G18" i="41"/>
  <c r="F18" i="41"/>
  <c r="J17" i="41"/>
  <c r="I17" i="41"/>
  <c r="H17" i="41"/>
  <c r="G17" i="41"/>
  <c r="F17" i="41"/>
  <c r="J16" i="41"/>
  <c r="I16" i="41"/>
  <c r="H16" i="41"/>
  <c r="G16" i="41"/>
  <c r="F16" i="41"/>
  <c r="J14" i="41"/>
  <c r="I14" i="41"/>
  <c r="H14" i="41"/>
  <c r="G14" i="41"/>
  <c r="F14" i="41"/>
  <c r="J13" i="41"/>
  <c r="I13" i="41"/>
  <c r="H13" i="41"/>
  <c r="G13" i="41"/>
  <c r="F13" i="41"/>
  <c r="J12" i="41"/>
  <c r="I12" i="41"/>
  <c r="H12" i="41"/>
  <c r="G12" i="41"/>
  <c r="F12" i="41"/>
  <c r="J11" i="41"/>
  <c r="I11" i="41"/>
  <c r="H11" i="41"/>
  <c r="G11" i="41"/>
  <c r="F11" i="41"/>
  <c r="J10" i="41"/>
  <c r="I10" i="41"/>
  <c r="H10" i="41"/>
  <c r="G10" i="41"/>
  <c r="F10" i="41"/>
  <c r="J9" i="41"/>
  <c r="I9" i="41"/>
  <c r="H9" i="41"/>
  <c r="G9" i="41"/>
  <c r="F9" i="41"/>
  <c r="J8" i="41"/>
  <c r="I8" i="41"/>
  <c r="H8" i="41"/>
  <c r="G8" i="41"/>
  <c r="F8" i="41"/>
  <c r="C4" i="41"/>
  <c r="D305" i="29"/>
  <c r="E102" i="32" s="1"/>
  <c r="D300" i="29"/>
  <c r="D39" i="35"/>
  <c r="B290" i="29"/>
  <c r="D34" i="35"/>
  <c r="D28" i="35"/>
  <c r="B284" i="29"/>
  <c r="D23" i="35"/>
  <c r="L271" i="29"/>
  <c r="K271" i="29"/>
  <c r="J271" i="29"/>
  <c r="I271" i="29"/>
  <c r="H271" i="29"/>
  <c r="G271" i="29"/>
  <c r="K253" i="29"/>
  <c r="K262" i="29" s="1"/>
  <c r="J253" i="29"/>
  <c r="I253" i="29"/>
  <c r="H253" i="29"/>
  <c r="G253" i="29"/>
  <c r="D247" i="29"/>
  <c r="F225" i="29"/>
  <c r="F224" i="29"/>
  <c r="F223" i="29"/>
  <c r="L221" i="29"/>
  <c r="L211" i="29" s="1"/>
  <c r="K221" i="29"/>
  <c r="J15" i="41" s="1"/>
  <c r="J221" i="29"/>
  <c r="I15" i="41" s="1"/>
  <c r="I221" i="29"/>
  <c r="H15" i="41" s="1"/>
  <c r="H221" i="29"/>
  <c r="G221" i="29"/>
  <c r="F15" i="41" s="1"/>
  <c r="F220" i="29"/>
  <c r="F219" i="29"/>
  <c r="F218" i="29"/>
  <c r="F217" i="29"/>
  <c r="F216" i="29"/>
  <c r="F215" i="29"/>
  <c r="F214" i="29"/>
  <c r="K213" i="29"/>
  <c r="J7" i="41" s="1"/>
  <c r="J213" i="29"/>
  <c r="I7" i="41" s="1"/>
  <c r="I213" i="29"/>
  <c r="H7" i="41" s="1"/>
  <c r="H213" i="29"/>
  <c r="G7" i="41" s="1"/>
  <c r="G213" i="29"/>
  <c r="F7" i="41" s="1"/>
  <c r="K212" i="29"/>
  <c r="J212" i="29"/>
  <c r="I212" i="29"/>
  <c r="H212" i="29"/>
  <c r="G212" i="29"/>
  <c r="F210" i="29"/>
  <c r="G210" i="29" s="1"/>
  <c r="H210" i="29" s="1"/>
  <c r="I210" i="29" s="1"/>
  <c r="J210" i="29" s="1"/>
  <c r="K210" i="29" s="1"/>
  <c r="C173" i="29"/>
  <c r="C172" i="29"/>
  <c r="K169" i="29"/>
  <c r="J169" i="29"/>
  <c r="I169" i="29"/>
  <c r="H169" i="29"/>
  <c r="G169" i="29"/>
  <c r="K168" i="29"/>
  <c r="J168" i="29"/>
  <c r="I168" i="29"/>
  <c r="H168" i="29"/>
  <c r="G168" i="29"/>
  <c r="K167" i="29"/>
  <c r="J167" i="29"/>
  <c r="I167" i="29"/>
  <c r="H167" i="29"/>
  <c r="G167" i="29"/>
  <c r="K166" i="29"/>
  <c r="J166" i="29"/>
  <c r="I166" i="29"/>
  <c r="G166" i="29"/>
  <c r="K165" i="29"/>
  <c r="I165" i="29"/>
  <c r="H165" i="29"/>
  <c r="H159" i="29"/>
  <c r="G159" i="29"/>
  <c r="H158" i="29"/>
  <c r="G158" i="29"/>
  <c r="H157" i="29"/>
  <c r="G157" i="29"/>
  <c r="H156" i="29"/>
  <c r="G156" i="29"/>
  <c r="H155" i="29"/>
  <c r="G155" i="29"/>
  <c r="L147" i="29"/>
  <c r="K147" i="29"/>
  <c r="J147" i="29"/>
  <c r="J189" i="29" s="1"/>
  <c r="I147" i="29"/>
  <c r="I189" i="29" s="1"/>
  <c r="H147" i="29"/>
  <c r="H189" i="29" s="1"/>
  <c r="G147" i="29"/>
  <c r="G162" i="29" s="1"/>
  <c r="G161" i="29" s="1"/>
  <c r="K141" i="29"/>
  <c r="K140" i="29" s="1"/>
  <c r="J141" i="29"/>
  <c r="J140" i="29" s="1"/>
  <c r="I141" i="29"/>
  <c r="I140" i="29" s="1"/>
  <c r="H141" i="29"/>
  <c r="H140" i="29" s="1"/>
  <c r="G141" i="29"/>
  <c r="G140" i="29" s="1"/>
  <c r="K139" i="29"/>
  <c r="J139" i="29"/>
  <c r="I139" i="29"/>
  <c r="H139" i="29"/>
  <c r="G139" i="29"/>
  <c r="K138" i="29"/>
  <c r="J138" i="29"/>
  <c r="I138" i="29"/>
  <c r="H138" i="29"/>
  <c r="G138" i="29"/>
  <c r="K137" i="29"/>
  <c r="J137" i="29"/>
  <c r="I137" i="29"/>
  <c r="H137" i="29"/>
  <c r="G137" i="29"/>
  <c r="K136" i="29"/>
  <c r="J136" i="29"/>
  <c r="I136" i="29"/>
  <c r="H136" i="29"/>
  <c r="G136" i="29"/>
  <c r="K135" i="29"/>
  <c r="J135" i="29"/>
  <c r="I135" i="29"/>
  <c r="H135" i="29"/>
  <c r="G135" i="29"/>
  <c r="K134" i="29"/>
  <c r="J134" i="29"/>
  <c r="I134" i="29"/>
  <c r="H134" i="29"/>
  <c r="G134" i="29"/>
  <c r="K133" i="29"/>
  <c r="J133" i="29"/>
  <c r="I133" i="29"/>
  <c r="H133" i="29"/>
  <c r="G133" i="29"/>
  <c r="K131" i="29"/>
  <c r="J131" i="29"/>
  <c r="I131" i="29"/>
  <c r="H131" i="29"/>
  <c r="G131" i="29"/>
  <c r="K130" i="29"/>
  <c r="J130" i="29"/>
  <c r="I130" i="29"/>
  <c r="H130" i="29"/>
  <c r="G130" i="29"/>
  <c r="K129" i="29"/>
  <c r="J129" i="29"/>
  <c r="I129" i="29"/>
  <c r="H129" i="29"/>
  <c r="G129" i="29"/>
  <c r="K127" i="29"/>
  <c r="J127" i="29"/>
  <c r="I127" i="29"/>
  <c r="H127" i="29"/>
  <c r="G127" i="29"/>
  <c r="K126" i="29"/>
  <c r="J126" i="29"/>
  <c r="I126" i="29"/>
  <c r="H126" i="29"/>
  <c r="G126" i="29"/>
  <c r="K125" i="29"/>
  <c r="J125" i="29"/>
  <c r="I125" i="29"/>
  <c r="H125" i="29"/>
  <c r="G125" i="29"/>
  <c r="K123" i="29"/>
  <c r="J123" i="29"/>
  <c r="I123" i="29"/>
  <c r="H123" i="29"/>
  <c r="G123" i="29"/>
  <c r="K122" i="29"/>
  <c r="J122" i="29"/>
  <c r="I122" i="29"/>
  <c r="H122" i="29"/>
  <c r="G122" i="29"/>
  <c r="K121" i="29"/>
  <c r="J121" i="29"/>
  <c r="I121" i="29"/>
  <c r="H121" i="29"/>
  <c r="G121" i="29"/>
  <c r="K120" i="29"/>
  <c r="J120" i="29"/>
  <c r="I120" i="29"/>
  <c r="H120" i="29"/>
  <c r="G120" i="29"/>
  <c r="K118" i="29"/>
  <c r="J118" i="29"/>
  <c r="I118" i="29"/>
  <c r="H118" i="29"/>
  <c r="G118" i="29"/>
  <c r="K117" i="29"/>
  <c r="J117" i="29"/>
  <c r="I117" i="29"/>
  <c r="H117" i="29"/>
  <c r="G117" i="29"/>
  <c r="K116" i="29"/>
  <c r="J116" i="29"/>
  <c r="I116" i="29"/>
  <c r="H116" i="29"/>
  <c r="G116" i="29"/>
  <c r="K115" i="29"/>
  <c r="J115" i="29"/>
  <c r="I115" i="29"/>
  <c r="H115" i="29"/>
  <c r="G115" i="29"/>
  <c r="K114" i="29"/>
  <c r="J114" i="29"/>
  <c r="I114" i="29"/>
  <c r="H114" i="29"/>
  <c r="G114" i="29"/>
  <c r="K113" i="29"/>
  <c r="J113" i="29"/>
  <c r="I113" i="29"/>
  <c r="H113" i="29"/>
  <c r="G113" i="29"/>
  <c r="K111" i="29"/>
  <c r="J111" i="29"/>
  <c r="I111" i="29"/>
  <c r="I110" i="29" s="1"/>
  <c r="H111" i="29"/>
  <c r="H110" i="29" s="1"/>
  <c r="G111" i="29"/>
  <c r="G71" i="29"/>
  <c r="G72" i="29" s="1"/>
  <c r="G65" i="29"/>
  <c r="G66" i="29" s="1"/>
  <c r="G54" i="29"/>
  <c r="G55" i="29" s="1"/>
  <c r="L15" i="29"/>
  <c r="K15" i="29"/>
  <c r="J15" i="29"/>
  <c r="I15" i="29"/>
  <c r="H15" i="29"/>
  <c r="D13" i="29"/>
  <c r="C4" i="29"/>
  <c r="J262" i="29" l="1"/>
  <c r="H262" i="29"/>
  <c r="I262" i="29"/>
  <c r="J46" i="32"/>
  <c r="I77" i="32"/>
  <c r="F77" i="32"/>
  <c r="J77" i="32"/>
  <c r="G77" i="32"/>
  <c r="H77" i="32"/>
  <c r="J5" i="35"/>
  <c r="K5" i="35" s="1"/>
  <c r="L5" i="35" s="1"/>
  <c r="L231" i="29"/>
  <c r="K6" i="41"/>
  <c r="L162" i="29"/>
  <c r="L161" i="29" s="1"/>
  <c r="L186" i="29"/>
  <c r="L189" i="29"/>
  <c r="L188" i="29"/>
  <c r="L187" i="29"/>
  <c r="K187" i="29"/>
  <c r="K162" i="29"/>
  <c r="G52" i="29"/>
  <c r="H4" i="29"/>
  <c r="H280" i="29" s="1"/>
  <c r="E4" i="46"/>
  <c r="F4" i="46" s="1"/>
  <c r="G4" i="46" s="1"/>
  <c r="H4" i="46" s="1"/>
  <c r="I4" i="46" s="1"/>
  <c r="J4" i="46" s="1"/>
  <c r="F4" i="41"/>
  <c r="G4" i="41" s="1"/>
  <c r="H4" i="41" s="1"/>
  <c r="E4" i="32"/>
  <c r="F4" i="32" s="1"/>
  <c r="G4" i="32" s="1"/>
  <c r="H4" i="32" s="1"/>
  <c r="I4" i="32" s="1"/>
  <c r="J4" i="32" s="1"/>
  <c r="E4" i="37"/>
  <c r="E4" i="42"/>
  <c r="F4" i="42" s="1"/>
  <c r="G4" i="42" s="1"/>
  <c r="H4" i="42" s="1"/>
  <c r="I4" i="42" s="1"/>
  <c r="J4" i="42" s="1"/>
  <c r="E4" i="31"/>
  <c r="F4" i="31" s="1"/>
  <c r="G4" i="31" s="1"/>
  <c r="H4" i="31" s="1"/>
  <c r="I4" i="31" s="1"/>
  <c r="J4" i="31" s="1"/>
  <c r="E4" i="30"/>
  <c r="E4" i="36"/>
  <c r="F4" i="36" s="1"/>
  <c r="G4" i="36" s="1"/>
  <c r="H4" i="36" s="1"/>
  <c r="I4" i="36" s="1"/>
  <c r="J4" i="36" s="1"/>
  <c r="E4" i="34"/>
  <c r="E4" i="35"/>
  <c r="E31" i="37"/>
  <c r="F8" i="42"/>
  <c r="G8" i="42" s="1"/>
  <c r="H8" i="42" s="1"/>
  <c r="I8" i="42" s="1"/>
  <c r="J8" i="42" s="1"/>
  <c r="J31" i="37" s="1"/>
  <c r="K211" i="29"/>
  <c r="J6" i="41" s="1"/>
  <c r="I13" i="32" s="1"/>
  <c r="L164" i="29"/>
  <c r="G280" i="29"/>
  <c r="E43" i="36" s="1"/>
  <c r="G255" i="29"/>
  <c r="G256" i="29" s="1"/>
  <c r="E49" i="37" s="1"/>
  <c r="I4" i="29"/>
  <c r="H255" i="29"/>
  <c r="H256" i="29" s="1"/>
  <c r="G211" i="29"/>
  <c r="F6" i="41" s="1"/>
  <c r="E13" i="32" s="1"/>
  <c r="J124" i="29"/>
  <c r="J119" i="29"/>
  <c r="J164" i="29"/>
  <c r="H188" i="29"/>
  <c r="H186" i="29"/>
  <c r="K119" i="29"/>
  <c r="I164" i="29"/>
  <c r="G51" i="29"/>
  <c r="I188" i="29"/>
  <c r="G262" i="29"/>
  <c r="K124" i="29"/>
  <c r="K164" i="29"/>
  <c r="G49" i="29"/>
  <c r="G96" i="29" s="1"/>
  <c r="G100" i="29" s="1"/>
  <c r="G98" i="29" s="1"/>
  <c r="G97" i="29" s="1"/>
  <c r="J112" i="29"/>
  <c r="J128" i="29"/>
  <c r="J132" i="29"/>
  <c r="G48" i="29"/>
  <c r="K112" i="29"/>
  <c r="I112" i="29"/>
  <c r="K128" i="29"/>
  <c r="K132" i="29"/>
  <c r="I132" i="29"/>
  <c r="I186" i="29"/>
  <c r="J187" i="29"/>
  <c r="L154" i="29"/>
  <c r="H124" i="29"/>
  <c r="I119" i="29"/>
  <c r="I124" i="29"/>
  <c r="I128" i="29"/>
  <c r="J154" i="29"/>
  <c r="K154" i="29"/>
  <c r="I154" i="29"/>
  <c r="G124" i="29"/>
  <c r="H128" i="29"/>
  <c r="H112" i="29"/>
  <c r="H154" i="29"/>
  <c r="G119" i="29"/>
  <c r="G128" i="29"/>
  <c r="G112" i="29"/>
  <c r="H119" i="29"/>
  <c r="H132" i="29"/>
  <c r="H164" i="29"/>
  <c r="G132" i="29"/>
  <c r="G154" i="29"/>
  <c r="G164" i="29"/>
  <c r="K61" i="41"/>
  <c r="K62" i="41"/>
  <c r="K70" i="41"/>
  <c r="K69" i="41"/>
  <c r="K71" i="41"/>
  <c r="K68" i="41"/>
  <c r="K75" i="41"/>
  <c r="K91" i="41"/>
  <c r="K107" i="41"/>
  <c r="K106" i="41"/>
  <c r="F125" i="41"/>
  <c r="H125" i="41"/>
  <c r="F121" i="41"/>
  <c r="I111" i="41"/>
  <c r="I112" i="41"/>
  <c r="F120" i="41"/>
  <c r="G121" i="41"/>
  <c r="H122" i="41"/>
  <c r="F124" i="41"/>
  <c r="G125" i="41"/>
  <c r="H126" i="41"/>
  <c r="F127" i="41"/>
  <c r="G120" i="41"/>
  <c r="K120" i="41"/>
  <c r="H121" i="41"/>
  <c r="I122" i="41"/>
  <c r="G124" i="41"/>
  <c r="K124" i="41"/>
  <c r="I126" i="41"/>
  <c r="I127" i="41"/>
  <c r="J120" i="41"/>
  <c r="J121" i="41"/>
  <c r="K121" i="41"/>
  <c r="J124" i="41"/>
  <c r="J125" i="41"/>
  <c r="K125" i="41"/>
  <c r="I71" i="29"/>
  <c r="I65" i="29"/>
  <c r="G109" i="29"/>
  <c r="G47" i="29"/>
  <c r="H54" i="29"/>
  <c r="J109" i="29"/>
  <c r="I109" i="29"/>
  <c r="J211" i="29"/>
  <c r="B41" i="35"/>
  <c r="B42" i="35"/>
  <c r="B43" i="35"/>
  <c r="H123" i="41"/>
  <c r="K123" i="41"/>
  <c r="G123" i="41"/>
  <c r="J123" i="41"/>
  <c r="I123" i="41"/>
  <c r="F123" i="41"/>
  <c r="G188" i="29"/>
  <c r="G186" i="29"/>
  <c r="K188" i="29"/>
  <c r="K186" i="29"/>
  <c r="K161" i="29"/>
  <c r="I5" i="30"/>
  <c r="J5" i="30" s="1"/>
  <c r="G50" i="29"/>
  <c r="H109" i="29"/>
  <c r="G189" i="29"/>
  <c r="I211" i="29"/>
  <c r="E103" i="32"/>
  <c r="I46" i="32"/>
  <c r="H46" i="32"/>
  <c r="G46" i="32"/>
  <c r="F46" i="32"/>
  <c r="H65" i="29"/>
  <c r="J110" i="29"/>
  <c r="H71" i="29"/>
  <c r="K109" i="29"/>
  <c r="G110" i="29"/>
  <c r="K110" i="29"/>
  <c r="J188" i="29"/>
  <c r="J186" i="29"/>
  <c r="J162" i="29"/>
  <c r="J161" i="29" s="1"/>
  <c r="G187" i="29"/>
  <c r="K189" i="29"/>
  <c r="G15" i="41"/>
  <c r="H211" i="29"/>
  <c r="K15" i="41"/>
  <c r="B31" i="35"/>
  <c r="B30" i="35"/>
  <c r="B32" i="35"/>
  <c r="K118" i="41"/>
  <c r="G118" i="41"/>
  <c r="J118" i="41"/>
  <c r="F118" i="41"/>
  <c r="I118" i="41"/>
  <c r="H118" i="41"/>
  <c r="H119" i="41"/>
  <c r="K119" i="41"/>
  <c r="G119" i="41"/>
  <c r="H162" i="29"/>
  <c r="H161" i="29" s="1"/>
  <c r="H187" i="29"/>
  <c r="F119" i="41"/>
  <c r="K126" i="41"/>
  <c r="G126" i="41"/>
  <c r="J126" i="41"/>
  <c r="F126" i="41"/>
  <c r="I162" i="29"/>
  <c r="I161" i="29" s="1"/>
  <c r="I187" i="29"/>
  <c r="I119" i="41"/>
  <c r="K122" i="41"/>
  <c r="G122" i="41"/>
  <c r="J122" i="41"/>
  <c r="F122" i="41"/>
  <c r="H127" i="41"/>
  <c r="K127" i="41"/>
  <c r="G127" i="41"/>
  <c r="H120" i="41"/>
  <c r="I121" i="41"/>
  <c r="H124" i="41"/>
  <c r="I125" i="41"/>
  <c r="I120" i="41"/>
  <c r="I124" i="41"/>
  <c r="E14" i="42" l="1"/>
  <c r="F14" i="42" s="1"/>
  <c r="E30" i="35"/>
  <c r="E33" i="35" s="1"/>
  <c r="J55" i="36"/>
  <c r="J40" i="32"/>
  <c r="J13" i="32"/>
  <c r="L182" i="29"/>
  <c r="L181" i="29" s="1"/>
  <c r="E42" i="35"/>
  <c r="E41" i="35"/>
  <c r="E44" i="35" s="1"/>
  <c r="E31" i="35"/>
  <c r="F4" i="35"/>
  <c r="F4" i="34"/>
  <c r="E30" i="34"/>
  <c r="I280" i="29"/>
  <c r="G70" i="32" s="1"/>
  <c r="G4" i="37"/>
  <c r="G4" i="30"/>
  <c r="F4" i="30"/>
  <c r="F4" i="37"/>
  <c r="I55" i="36"/>
  <c r="I51" i="36" s="1"/>
  <c r="J173" i="29"/>
  <c r="E40" i="32"/>
  <c r="I67" i="32"/>
  <c r="I40" i="32"/>
  <c r="K231" i="29"/>
  <c r="L184" i="29"/>
  <c r="K182" i="29"/>
  <c r="K181" i="29" s="1"/>
  <c r="I184" i="29"/>
  <c r="L172" i="29"/>
  <c r="K176" i="29"/>
  <c r="K175" i="29" s="1"/>
  <c r="I17" i="31" s="1"/>
  <c r="F31" i="37"/>
  <c r="E70" i="32"/>
  <c r="I172" i="29"/>
  <c r="J4" i="29"/>
  <c r="I255" i="29"/>
  <c r="J108" i="29"/>
  <c r="H12" i="30" s="1"/>
  <c r="K114" i="41"/>
  <c r="E67" i="32"/>
  <c r="F49" i="37"/>
  <c r="E55" i="36"/>
  <c r="E51" i="36" s="1"/>
  <c r="J176" i="29"/>
  <c r="J175" i="29" s="1"/>
  <c r="H17" i="31" s="1"/>
  <c r="I34" i="36" s="1"/>
  <c r="I108" i="29"/>
  <c r="G12" i="30" s="1"/>
  <c r="G231" i="29"/>
  <c r="K108" i="29"/>
  <c r="I12" i="30" s="1"/>
  <c r="J182" i="29"/>
  <c r="J181" i="29" s="1"/>
  <c r="J179" i="29"/>
  <c r="J178" i="29" s="1"/>
  <c r="L173" i="29"/>
  <c r="H184" i="29"/>
  <c r="L176" i="29"/>
  <c r="L175" i="29" s="1"/>
  <c r="G101" i="29"/>
  <c r="G104" i="29" s="1"/>
  <c r="H103" i="29" s="1"/>
  <c r="J172" i="29"/>
  <c r="G45" i="29"/>
  <c r="E28" i="31" s="1"/>
  <c r="L179" i="29"/>
  <c r="L178" i="29" s="1"/>
  <c r="G179" i="29"/>
  <c r="G178" i="29" s="1"/>
  <c r="K179" i="29"/>
  <c r="K178" i="29" s="1"/>
  <c r="K172" i="29"/>
  <c r="K173" i="29"/>
  <c r="I182" i="29"/>
  <c r="I181" i="29" s="1"/>
  <c r="I173" i="29"/>
  <c r="I176" i="29"/>
  <c r="I175" i="29" s="1"/>
  <c r="G17" i="31" s="1"/>
  <c r="I179" i="29"/>
  <c r="H176" i="29"/>
  <c r="H175" i="29" s="1"/>
  <c r="F17" i="31" s="1"/>
  <c r="F24" i="36" s="1"/>
  <c r="H179" i="29"/>
  <c r="H178" i="29" s="1"/>
  <c r="H182" i="29"/>
  <c r="H181" i="29" s="1"/>
  <c r="H173" i="29"/>
  <c r="H172" i="29"/>
  <c r="G172" i="29"/>
  <c r="E14" i="37"/>
  <c r="F14" i="37" s="1"/>
  <c r="G14" i="37" s="1"/>
  <c r="H14" i="37" s="1"/>
  <c r="I14" i="37" s="1"/>
  <c r="J14" i="37" s="1"/>
  <c r="G182" i="29"/>
  <c r="G181" i="29" s="1"/>
  <c r="G108" i="29"/>
  <c r="E12" i="30" s="1"/>
  <c r="H108" i="29"/>
  <c r="F12" i="30" s="1"/>
  <c r="G173" i="29"/>
  <c r="G176" i="29"/>
  <c r="G175" i="29" s="1"/>
  <c r="E17" i="31" s="1"/>
  <c r="E24" i="36" s="1"/>
  <c r="K77" i="41"/>
  <c r="K90" i="41"/>
  <c r="K98" i="41"/>
  <c r="K97" i="41"/>
  <c r="K105" i="41"/>
  <c r="K104" i="41"/>
  <c r="I4" i="41"/>
  <c r="J112" i="41"/>
  <c r="J111" i="41"/>
  <c r="H72" i="29"/>
  <c r="H52" i="29" s="1"/>
  <c r="H51" i="29"/>
  <c r="I6" i="41"/>
  <c r="J231" i="29"/>
  <c r="F117" i="41"/>
  <c r="I185" i="29"/>
  <c r="K71" i="29"/>
  <c r="G88" i="29"/>
  <c r="G44" i="29"/>
  <c r="H66" i="29"/>
  <c r="H50" i="29" s="1"/>
  <c r="H49" i="29"/>
  <c r="G184" i="29"/>
  <c r="G185" i="29"/>
  <c r="L185" i="29"/>
  <c r="J117" i="41"/>
  <c r="K117" i="41"/>
  <c r="H99" i="29"/>
  <c r="H185" i="29"/>
  <c r="H47" i="29"/>
  <c r="H55" i="29"/>
  <c r="H48" i="29" s="1"/>
  <c r="H117" i="41"/>
  <c r="G117" i="41"/>
  <c r="H231" i="29"/>
  <c r="G6" i="41"/>
  <c r="J184" i="29"/>
  <c r="J185" i="29"/>
  <c r="J65" i="29"/>
  <c r="J71" i="29"/>
  <c r="I117" i="41"/>
  <c r="E10" i="35"/>
  <c r="I231" i="29"/>
  <c r="H6" i="41"/>
  <c r="K184" i="29"/>
  <c r="K185" i="29"/>
  <c r="F43" i="36"/>
  <c r="F70" i="32"/>
  <c r="I54" i="29"/>
  <c r="G31" i="37"/>
  <c r="I49" i="29"/>
  <c r="I66" i="29"/>
  <c r="I50" i="29" s="1"/>
  <c r="I72" i="29"/>
  <c r="I52" i="29" s="1"/>
  <c r="I51" i="29"/>
  <c r="E11" i="35" l="1"/>
  <c r="E9" i="35" s="1"/>
  <c r="E36" i="37"/>
  <c r="I256" i="29"/>
  <c r="G14" i="42" s="1"/>
  <c r="J20" i="31"/>
  <c r="J27" i="36" s="1"/>
  <c r="E32" i="35"/>
  <c r="F30" i="35" s="1"/>
  <c r="F33" i="35" s="1"/>
  <c r="J21" i="36"/>
  <c r="J17" i="31"/>
  <c r="J24" i="36" s="1"/>
  <c r="I24" i="36"/>
  <c r="J34" i="36"/>
  <c r="E43" i="35"/>
  <c r="F41" i="35" s="1"/>
  <c r="F44" i="35" s="1"/>
  <c r="G43" i="36"/>
  <c r="F31" i="35"/>
  <c r="F10" i="35" s="1"/>
  <c r="G4" i="35"/>
  <c r="F42" i="35"/>
  <c r="E12" i="35"/>
  <c r="H4" i="37"/>
  <c r="H4" i="30"/>
  <c r="F30" i="34"/>
  <c r="G4" i="34"/>
  <c r="J171" i="29"/>
  <c r="H19" i="31" s="1"/>
  <c r="I36" i="36" s="1"/>
  <c r="L145" i="29"/>
  <c r="J13" i="30" s="1"/>
  <c r="L171" i="29"/>
  <c r="I21" i="36"/>
  <c r="I171" i="29"/>
  <c r="G19" i="31" s="1"/>
  <c r="H36" i="36" s="1"/>
  <c r="H21" i="36"/>
  <c r="J280" i="29"/>
  <c r="J255" i="29"/>
  <c r="K4" i="29"/>
  <c r="L4" i="29" s="1"/>
  <c r="E7" i="35"/>
  <c r="E20" i="31"/>
  <c r="F37" i="36" s="1"/>
  <c r="H171" i="29"/>
  <c r="F19" i="31" s="1"/>
  <c r="G36" i="36" s="1"/>
  <c r="G102" i="29"/>
  <c r="E9" i="30" s="1"/>
  <c r="H24" i="36"/>
  <c r="K171" i="29"/>
  <c r="I19" i="31" s="1"/>
  <c r="J36" i="36" s="1"/>
  <c r="F36" i="37"/>
  <c r="H32" i="34"/>
  <c r="G145" i="29"/>
  <c r="E13" i="30" s="1"/>
  <c r="G20" i="31"/>
  <c r="H37" i="36" s="1"/>
  <c r="G21" i="36"/>
  <c r="F21" i="36"/>
  <c r="I178" i="29"/>
  <c r="G32" i="34" s="1"/>
  <c r="F20" i="31"/>
  <c r="G37" i="36" s="1"/>
  <c r="I20" i="31"/>
  <c r="J37" i="36" s="1"/>
  <c r="H20" i="31"/>
  <c r="I37" i="36" s="1"/>
  <c r="E21" i="36"/>
  <c r="G171" i="29"/>
  <c r="E19" i="31" s="1"/>
  <c r="F36" i="36" s="1"/>
  <c r="E32" i="34"/>
  <c r="H45" i="29"/>
  <c r="F28" i="31" s="1"/>
  <c r="J4" i="41"/>
  <c r="K4" i="41" s="1"/>
  <c r="K113" i="41"/>
  <c r="H88" i="29"/>
  <c r="H44" i="29"/>
  <c r="H101" i="29"/>
  <c r="H104" i="29" s="1"/>
  <c r="H96" i="29"/>
  <c r="J54" i="29"/>
  <c r="K65" i="29"/>
  <c r="H40" i="32"/>
  <c r="H13" i="32"/>
  <c r="H55" i="36"/>
  <c r="H51" i="36" s="1"/>
  <c r="H67" i="32"/>
  <c r="J51" i="36"/>
  <c r="J67" i="32"/>
  <c r="I101" i="29"/>
  <c r="I104" i="29" s="1"/>
  <c r="I96" i="29"/>
  <c r="G55" i="36"/>
  <c r="G51" i="36" s="1"/>
  <c r="G67" i="32"/>
  <c r="G13" i="32"/>
  <c r="G40" i="32"/>
  <c r="J32" i="34"/>
  <c r="J51" i="29"/>
  <c r="J72" i="29"/>
  <c r="J52" i="29" s="1"/>
  <c r="F55" i="36"/>
  <c r="F51" i="36" s="1"/>
  <c r="F67" i="32"/>
  <c r="F13" i="32"/>
  <c r="F40" i="32"/>
  <c r="J145" i="29"/>
  <c r="H13" i="30" s="1"/>
  <c r="H34" i="36"/>
  <c r="E34" i="34"/>
  <c r="E6" i="30"/>
  <c r="E68" i="34" s="1"/>
  <c r="E7" i="31"/>
  <c r="G196" i="29"/>
  <c r="G197" i="29"/>
  <c r="E20" i="30" s="1"/>
  <c r="E28" i="36" s="1"/>
  <c r="K72" i="29"/>
  <c r="K52" i="29" s="1"/>
  <c r="K51" i="29"/>
  <c r="H145" i="29"/>
  <c r="F13" i="30" s="1"/>
  <c r="F32" i="34"/>
  <c r="H31" i="37"/>
  <c r="I47" i="29"/>
  <c r="I55" i="29"/>
  <c r="I48" i="29" s="1"/>
  <c r="I45" i="29" s="1"/>
  <c r="G28" i="31" s="1"/>
  <c r="G34" i="36"/>
  <c r="F34" i="36"/>
  <c r="J49" i="29"/>
  <c r="J66" i="29"/>
  <c r="J50" i="29" s="1"/>
  <c r="G24" i="36"/>
  <c r="G81" i="29"/>
  <c r="G92" i="29"/>
  <c r="G90" i="29" s="1"/>
  <c r="K145" i="29"/>
  <c r="I13" i="30" s="1"/>
  <c r="I32" i="34"/>
  <c r="G49" i="37" l="1"/>
  <c r="J256" i="29"/>
  <c r="H14" i="42" s="1"/>
  <c r="G26" i="36"/>
  <c r="J19" i="31"/>
  <c r="J26" i="36" s="1"/>
  <c r="L255" i="29"/>
  <c r="L256" i="29" s="1"/>
  <c r="L280" i="29"/>
  <c r="J43" i="36" s="1"/>
  <c r="F32" i="35"/>
  <c r="G30" i="35" s="1"/>
  <c r="G33" i="35" s="1"/>
  <c r="E26" i="30"/>
  <c r="E70" i="34" s="1"/>
  <c r="E49" i="36"/>
  <c r="I4" i="30"/>
  <c r="I4" i="37"/>
  <c r="F43" i="35"/>
  <c r="H4" i="34"/>
  <c r="G30" i="34"/>
  <c r="G31" i="35"/>
  <c r="G10" i="35" s="1"/>
  <c r="G41" i="35"/>
  <c r="G44" i="35" s="1"/>
  <c r="G42" i="35"/>
  <c r="H4" i="35"/>
  <c r="E19" i="30"/>
  <c r="E12" i="36" s="1"/>
  <c r="H26" i="36"/>
  <c r="E46" i="36"/>
  <c r="E71" i="32"/>
  <c r="G36" i="37"/>
  <c r="E27" i="36"/>
  <c r="K255" i="29"/>
  <c r="K256" i="29" s="1"/>
  <c r="K280" i="29"/>
  <c r="I43" i="36" s="1"/>
  <c r="H43" i="36"/>
  <c r="H70" i="32"/>
  <c r="G27" i="36"/>
  <c r="H27" i="36"/>
  <c r="F27" i="36"/>
  <c r="I145" i="29"/>
  <c r="G13" i="30" s="1"/>
  <c r="I27" i="36"/>
  <c r="K112" i="41"/>
  <c r="J101" i="29"/>
  <c r="J104" i="29" s="1"/>
  <c r="J96" i="29"/>
  <c r="J103" i="29"/>
  <c r="K66" i="29"/>
  <c r="K50" i="29" s="1"/>
  <c r="K49" i="29"/>
  <c r="H91" i="29"/>
  <c r="G84" i="29"/>
  <c r="E8" i="31" s="1"/>
  <c r="G194" i="29"/>
  <c r="F14" i="36"/>
  <c r="G195" i="29"/>
  <c r="E15" i="30" s="1"/>
  <c r="E20" i="37" s="1"/>
  <c r="E61" i="34" s="1"/>
  <c r="F26" i="36"/>
  <c r="H100" i="29"/>
  <c r="H98" i="29" s="1"/>
  <c r="H97" i="29" s="1"/>
  <c r="I26" i="36"/>
  <c r="G82" i="29"/>
  <c r="G89" i="29"/>
  <c r="G83" i="29" s="1"/>
  <c r="I44" i="29"/>
  <c r="I88" i="29"/>
  <c r="I31" i="37"/>
  <c r="E31" i="34"/>
  <c r="E33" i="34" s="1"/>
  <c r="E35" i="34" s="1"/>
  <c r="E36" i="34" s="1"/>
  <c r="E11" i="30"/>
  <c r="E26" i="36"/>
  <c r="J55" i="29"/>
  <c r="J48" i="29" s="1"/>
  <c r="J45" i="29" s="1"/>
  <c r="H28" i="31" s="1"/>
  <c r="J47" i="29"/>
  <c r="H102" i="29"/>
  <c r="F9" i="30" s="1"/>
  <c r="I103" i="29"/>
  <c r="I102" i="29" s="1"/>
  <c r="G9" i="30" s="1"/>
  <c r="F34" i="34"/>
  <c r="F7" i="31"/>
  <c r="F6" i="30"/>
  <c r="F68" i="34" s="1"/>
  <c r="H197" i="29"/>
  <c r="H196" i="29"/>
  <c r="E9" i="36"/>
  <c r="I100" i="29"/>
  <c r="K54" i="29"/>
  <c r="H81" i="29"/>
  <c r="H92" i="29"/>
  <c r="H49" i="37" l="1"/>
  <c r="I49" i="37"/>
  <c r="J49" i="37" s="1"/>
  <c r="I14" i="42"/>
  <c r="J14" i="42" s="1"/>
  <c r="F7" i="35"/>
  <c r="G32" i="35"/>
  <c r="G7" i="35" s="1"/>
  <c r="E44" i="36"/>
  <c r="E69" i="32"/>
  <c r="H31" i="35"/>
  <c r="H10" i="35" s="1"/>
  <c r="H42" i="35"/>
  <c r="I4" i="35"/>
  <c r="G43" i="35"/>
  <c r="H41" i="35" s="1"/>
  <c r="H44" i="35" s="1"/>
  <c r="H30" i="34"/>
  <c r="I4" i="34"/>
  <c r="J4" i="34" s="1"/>
  <c r="E7" i="36"/>
  <c r="J36" i="37"/>
  <c r="F20" i="30"/>
  <c r="F28" i="36" s="1"/>
  <c r="E14" i="30"/>
  <c r="F10" i="36" s="1"/>
  <c r="I70" i="32"/>
  <c r="H90" i="29"/>
  <c r="H89" i="29" s="1"/>
  <c r="H83" i="29" s="1"/>
  <c r="K111" i="41"/>
  <c r="K103" i="29"/>
  <c r="J102" i="29"/>
  <c r="H9" i="30" s="1"/>
  <c r="K55" i="29"/>
  <c r="K48" i="29" s="1"/>
  <c r="K45" i="29" s="1"/>
  <c r="I28" i="31" s="1"/>
  <c r="K47" i="29"/>
  <c r="G14" i="36"/>
  <c r="H195" i="29"/>
  <c r="F15" i="30" s="1"/>
  <c r="G34" i="34"/>
  <c r="G7" i="31"/>
  <c r="G6" i="30"/>
  <c r="G68" i="34" s="1"/>
  <c r="I197" i="29"/>
  <c r="I196" i="29"/>
  <c r="K96" i="29"/>
  <c r="K101" i="29"/>
  <c r="K104" i="29" s="1"/>
  <c r="L103" i="29" s="1"/>
  <c r="F31" i="34"/>
  <c r="F33" i="34" s="1"/>
  <c r="F35" i="34" s="1"/>
  <c r="F36" i="34" s="1"/>
  <c r="H31" i="34"/>
  <c r="H33" i="34" s="1"/>
  <c r="F11" i="30"/>
  <c r="F9" i="36"/>
  <c r="E29" i="31"/>
  <c r="E27" i="31" s="1"/>
  <c r="E15" i="31"/>
  <c r="E20" i="36" s="1"/>
  <c r="I99" i="29"/>
  <c r="I98" i="29" s="1"/>
  <c r="I97" i="29" s="1"/>
  <c r="H194" i="29"/>
  <c r="F14" i="30" s="1"/>
  <c r="I92" i="29"/>
  <c r="I81" i="29"/>
  <c r="I91" i="29"/>
  <c r="H84" i="29"/>
  <c r="F8" i="31" s="1"/>
  <c r="J99" i="29"/>
  <c r="J44" i="29"/>
  <c r="J88" i="29"/>
  <c r="J100" i="29"/>
  <c r="H36" i="37" l="1"/>
  <c r="J4" i="35"/>
  <c r="H30" i="35"/>
  <c r="H33" i="35" s="1"/>
  <c r="H43" i="35"/>
  <c r="I41" i="35" s="1"/>
  <c r="I44" i="35" s="1"/>
  <c r="I31" i="35"/>
  <c r="I42" i="35"/>
  <c r="I30" i="34"/>
  <c r="F20" i="37"/>
  <c r="F61" i="34" s="1"/>
  <c r="G20" i="30"/>
  <c r="G28" i="36" s="1"/>
  <c r="E18" i="37"/>
  <c r="E60" i="34" s="1"/>
  <c r="G10" i="36"/>
  <c r="E21" i="30"/>
  <c r="E69" i="34" s="1"/>
  <c r="E40" i="34" s="1"/>
  <c r="H82" i="29"/>
  <c r="F15" i="31" s="1"/>
  <c r="F20" i="36" s="1"/>
  <c r="I90" i="29"/>
  <c r="I89" i="29" s="1"/>
  <c r="I83" i="29" s="1"/>
  <c r="J81" i="29"/>
  <c r="J31" i="34" s="1"/>
  <c r="J92" i="29"/>
  <c r="J194" i="29" s="1"/>
  <c r="H14" i="30" s="1"/>
  <c r="H14" i="36"/>
  <c r="I195" i="29"/>
  <c r="F29" i="31"/>
  <c r="F27" i="31" s="1"/>
  <c r="E10" i="31"/>
  <c r="E9" i="31" s="1"/>
  <c r="E18" i="31"/>
  <c r="L71" i="29"/>
  <c r="K100" i="29"/>
  <c r="L99" i="29" s="1"/>
  <c r="J91" i="29"/>
  <c r="I84" i="29"/>
  <c r="G8" i="31" s="1"/>
  <c r="K99" i="29"/>
  <c r="H34" i="34"/>
  <c r="H35" i="34" s="1"/>
  <c r="H7" i="31"/>
  <c r="H6" i="30"/>
  <c r="H68" i="34" s="1"/>
  <c r="J196" i="29"/>
  <c r="J197" i="29"/>
  <c r="I194" i="29"/>
  <c r="G14" i="30" s="1"/>
  <c r="J98" i="29"/>
  <c r="J97" i="29" s="1"/>
  <c r="I31" i="34"/>
  <c r="I33" i="34" s="1"/>
  <c r="G31" i="34"/>
  <c r="G33" i="34" s="1"/>
  <c r="G35" i="34" s="1"/>
  <c r="G36" i="34" s="1"/>
  <c r="G11" i="30"/>
  <c r="F30" i="36"/>
  <c r="E45" i="37"/>
  <c r="K102" i="29"/>
  <c r="I9" i="30" s="1"/>
  <c r="G9" i="36"/>
  <c r="I36" i="37"/>
  <c r="K88" i="29"/>
  <c r="K44" i="29"/>
  <c r="H32" i="35" l="1"/>
  <c r="H7" i="35" s="1"/>
  <c r="I43" i="35"/>
  <c r="J41" i="35" s="1"/>
  <c r="I10" i="35"/>
  <c r="H20" i="30"/>
  <c r="H28" i="36" s="1"/>
  <c r="G15" i="30"/>
  <c r="H9" i="36" s="1"/>
  <c r="I10" i="36"/>
  <c r="H10" i="36"/>
  <c r="F18" i="37"/>
  <c r="F60" i="34" s="1"/>
  <c r="I82" i="29"/>
  <c r="G15" i="31" s="1"/>
  <c r="G20" i="36" s="1"/>
  <c r="E25" i="36"/>
  <c r="I14" i="36"/>
  <c r="J195" i="29"/>
  <c r="L72" i="29"/>
  <c r="L52" i="29" s="1"/>
  <c r="L51" i="29"/>
  <c r="F16" i="36"/>
  <c r="E21" i="37"/>
  <c r="E6" i="31"/>
  <c r="G30" i="36"/>
  <c r="F45" i="37"/>
  <c r="K91" i="29"/>
  <c r="J84" i="29"/>
  <c r="H8" i="31" s="1"/>
  <c r="H18" i="37" s="1"/>
  <c r="K81" i="29"/>
  <c r="K92" i="29"/>
  <c r="L91" i="29" s="1"/>
  <c r="K98" i="29"/>
  <c r="K97" i="29" s="1"/>
  <c r="G29" i="31"/>
  <c r="G27" i="31" s="1"/>
  <c r="F10" i="31"/>
  <c r="F9" i="31" s="1"/>
  <c r="F18" i="31"/>
  <c r="H11" i="30"/>
  <c r="F35" i="36"/>
  <c r="E16" i="31"/>
  <c r="L65" i="29"/>
  <c r="I34" i="34"/>
  <c r="I35" i="34" s="1"/>
  <c r="I6" i="30"/>
  <c r="I68" i="34" s="1"/>
  <c r="K196" i="29"/>
  <c r="I7" i="31"/>
  <c r="J14" i="36" s="1"/>
  <c r="K197" i="29"/>
  <c r="H36" i="34"/>
  <c r="J90" i="29"/>
  <c r="I30" i="35" l="1"/>
  <c r="I32" i="35" s="1"/>
  <c r="J30" i="35" s="1"/>
  <c r="G20" i="37"/>
  <c r="G61" i="34" s="1"/>
  <c r="H15" i="30"/>
  <c r="I9" i="36" s="1"/>
  <c r="I20" i="30"/>
  <c r="I28" i="36" s="1"/>
  <c r="G18" i="37"/>
  <c r="G60" i="34" s="1"/>
  <c r="F25" i="36"/>
  <c r="K90" i="29"/>
  <c r="K89" i="29" s="1"/>
  <c r="K83" i="29" s="1"/>
  <c r="H30" i="36"/>
  <c r="G45" i="37"/>
  <c r="K84" i="29"/>
  <c r="I8" i="31" s="1"/>
  <c r="E47" i="37"/>
  <c r="E14" i="31"/>
  <c r="E24" i="31" s="1"/>
  <c r="E25" i="31" s="1"/>
  <c r="L54" i="29"/>
  <c r="L47" i="29" s="1"/>
  <c r="L88" i="29" s="1"/>
  <c r="J89" i="29"/>
  <c r="J83" i="29" s="1"/>
  <c r="J82" i="29"/>
  <c r="K195" i="29"/>
  <c r="I36" i="34"/>
  <c r="G35" i="36"/>
  <c r="F16" i="31"/>
  <c r="G18" i="31"/>
  <c r="G10" i="31"/>
  <c r="G9" i="31" s="1"/>
  <c r="I11" i="30"/>
  <c r="L66" i="29"/>
  <c r="L50" i="29" s="1"/>
  <c r="L49" i="29"/>
  <c r="G16" i="36"/>
  <c r="F21" i="37"/>
  <c r="F6" i="31"/>
  <c r="H60" i="34"/>
  <c r="K194" i="29"/>
  <c r="I14" i="30" s="1"/>
  <c r="J10" i="36" s="1"/>
  <c r="L96" i="29" l="1"/>
  <c r="L101" i="29"/>
  <c r="L104" i="29" s="1"/>
  <c r="L102" i="29" s="1"/>
  <c r="J9" i="30" s="1"/>
  <c r="L92" i="29"/>
  <c r="L90" i="29" s="1"/>
  <c r="L89" i="29" s="1"/>
  <c r="I33" i="35"/>
  <c r="I7" i="35"/>
  <c r="J4" i="30"/>
  <c r="J4" i="37"/>
  <c r="H20" i="37"/>
  <c r="H61" i="34" s="1"/>
  <c r="I15" i="30"/>
  <c r="I20" i="37" s="1"/>
  <c r="I61" i="34" s="1"/>
  <c r="G25" i="36"/>
  <c r="K82" i="29"/>
  <c r="I15" i="31" s="1"/>
  <c r="E66" i="32"/>
  <c r="E12" i="32"/>
  <c r="E39" i="32"/>
  <c r="G207" i="29"/>
  <c r="F47" i="37"/>
  <c r="F14" i="31"/>
  <c r="F24" i="31" s="1"/>
  <c r="F25" i="31" s="1"/>
  <c r="I29" i="31"/>
  <c r="I27" i="31" s="1"/>
  <c r="H16" i="36"/>
  <c r="G21" i="37"/>
  <c r="G6" i="31"/>
  <c r="H29" i="31"/>
  <c r="H27" i="31" s="1"/>
  <c r="H15" i="31"/>
  <c r="H35" i="36"/>
  <c r="G16" i="31"/>
  <c r="L44" i="29"/>
  <c r="J6" i="30" s="1"/>
  <c r="L55" i="29"/>
  <c r="L48" i="29" s="1"/>
  <c r="I45" i="37" l="1"/>
  <c r="J30" i="36"/>
  <c r="L100" i="29"/>
  <c r="L98" i="29" s="1"/>
  <c r="L97" i="29" s="1"/>
  <c r="L45" i="29"/>
  <c r="J28" i="31" s="1"/>
  <c r="J30" i="34"/>
  <c r="I18" i="37"/>
  <c r="I60" i="34" s="1"/>
  <c r="J70" i="32"/>
  <c r="I20" i="36"/>
  <c r="F66" i="32"/>
  <c r="F39" i="32"/>
  <c r="F12" i="32"/>
  <c r="H207" i="29"/>
  <c r="I30" i="36"/>
  <c r="H45" i="37"/>
  <c r="G47" i="37"/>
  <c r="G14" i="31"/>
  <c r="G24" i="31" s="1"/>
  <c r="G25" i="31" s="1"/>
  <c r="H18" i="31"/>
  <c r="H10" i="31"/>
  <c r="H9" i="31" s="1"/>
  <c r="I10" i="31"/>
  <c r="I9" i="31" s="1"/>
  <c r="J16" i="36" s="1"/>
  <c r="I18" i="31"/>
  <c r="J35" i="36" s="1"/>
  <c r="H20" i="36"/>
  <c r="G230" i="29"/>
  <c r="G229" i="29"/>
  <c r="G249" i="29" s="1"/>
  <c r="J44" i="35" l="1"/>
  <c r="J31" i="35"/>
  <c r="J10" i="35" s="1"/>
  <c r="K4" i="35"/>
  <c r="J42" i="35"/>
  <c r="G263" i="29"/>
  <c r="G260" i="29" s="1"/>
  <c r="G278" i="29" s="1"/>
  <c r="I25" i="36"/>
  <c r="G39" i="32"/>
  <c r="G66" i="32"/>
  <c r="G12" i="32"/>
  <c r="I207" i="29"/>
  <c r="I16" i="36"/>
  <c r="H21" i="37"/>
  <c r="H6" i="31"/>
  <c r="I35" i="36"/>
  <c r="H16" i="31"/>
  <c r="H230" i="29"/>
  <c r="H229" i="29"/>
  <c r="H249" i="29" s="1"/>
  <c r="I21" i="37"/>
  <c r="I6" i="31"/>
  <c r="H25" i="36"/>
  <c r="J34" i="34"/>
  <c r="J7" i="31"/>
  <c r="L197" i="29"/>
  <c r="J20" i="30" s="1"/>
  <c r="J68" i="34"/>
  <c r="L196" i="29"/>
  <c r="I16" i="31"/>
  <c r="I47" i="37" s="1"/>
  <c r="L81" i="29"/>
  <c r="J11" i="30" s="1"/>
  <c r="L84" i="29"/>
  <c r="J8" i="31" s="1"/>
  <c r="J33" i="34"/>
  <c r="J9" i="36" l="1"/>
  <c r="K31" i="35"/>
  <c r="K42" i="35"/>
  <c r="L4" i="35"/>
  <c r="J43" i="35"/>
  <c r="K41" i="35" s="1"/>
  <c r="J28" i="36"/>
  <c r="J35" i="34"/>
  <c r="J36" i="34" s="1"/>
  <c r="H263" i="29"/>
  <c r="H260" i="29" s="1"/>
  <c r="H278" i="29" s="1"/>
  <c r="E9" i="42"/>
  <c r="I230" i="29"/>
  <c r="I229" i="29"/>
  <c r="I249" i="29" s="1"/>
  <c r="L195" i="29"/>
  <c r="J15" i="30" s="1"/>
  <c r="J20" i="37" s="1"/>
  <c r="L194" i="29"/>
  <c r="J14" i="30" s="1"/>
  <c r="J18" i="37" s="1"/>
  <c r="I14" i="31"/>
  <c r="I24" i="31" s="1"/>
  <c r="H47" i="37"/>
  <c r="H14" i="31"/>
  <c r="H24" i="31" s="1"/>
  <c r="H25" i="31" s="1"/>
  <c r="K43" i="35" l="1"/>
  <c r="L41" i="35" s="1"/>
  <c r="K44" i="35"/>
  <c r="L31" i="35"/>
  <c r="L42" i="35"/>
  <c r="E32" i="37"/>
  <c r="F9" i="42"/>
  <c r="F32" i="37" s="1"/>
  <c r="I263" i="29"/>
  <c r="I260" i="29" s="1"/>
  <c r="I278" i="29" s="1"/>
  <c r="H66" i="32"/>
  <c r="H39" i="32"/>
  <c r="H12" i="32"/>
  <c r="J207" i="29"/>
  <c r="I25" i="31"/>
  <c r="L83" i="29"/>
  <c r="L82" i="29"/>
  <c r="J15" i="31" l="1"/>
  <c r="J45" i="37" s="1"/>
  <c r="J60" i="34"/>
  <c r="J61" i="34"/>
  <c r="L43" i="35"/>
  <c r="L44" i="35"/>
  <c r="G9" i="42"/>
  <c r="G32" i="37" s="1"/>
  <c r="J29" i="31"/>
  <c r="J27" i="31" s="1"/>
  <c r="J18" i="31" s="1"/>
  <c r="J16" i="31" s="1"/>
  <c r="J47" i="37" s="1"/>
  <c r="I66" i="32"/>
  <c r="I12" i="32"/>
  <c r="I39" i="32"/>
  <c r="K207" i="29"/>
  <c r="J230" i="29"/>
  <c r="J229" i="29"/>
  <c r="J249" i="29" s="1"/>
  <c r="J20" i="36" l="1"/>
  <c r="J263" i="29"/>
  <c r="J260" i="29" s="1"/>
  <c r="J278" i="29" s="1"/>
  <c r="J10" i="31"/>
  <c r="J9" i="31" s="1"/>
  <c r="J21" i="37" s="1"/>
  <c r="K230" i="29"/>
  <c r="K229" i="29"/>
  <c r="K249" i="29" s="1"/>
  <c r="K263" i="29" l="1"/>
  <c r="K260" i="29" s="1"/>
  <c r="K278" i="29" s="1"/>
  <c r="H9" i="42"/>
  <c r="H32" i="37" s="1"/>
  <c r="J25" i="36"/>
  <c r="J14" i="31"/>
  <c r="J6" i="31"/>
  <c r="J33" i="35"/>
  <c r="J24" i="31" l="1"/>
  <c r="J25" i="31" s="1"/>
  <c r="L207" i="29" s="1"/>
  <c r="I9" i="42"/>
  <c r="I32" i="37" s="1"/>
  <c r="J32" i="35"/>
  <c r="J7" i="35" s="1"/>
  <c r="L229" i="29" l="1"/>
  <c r="L230" i="29"/>
  <c r="J12" i="32"/>
  <c r="J39" i="32"/>
  <c r="J66" i="32"/>
  <c r="K30" i="35"/>
  <c r="L263" i="29" l="1"/>
  <c r="L249" i="29"/>
  <c r="K33" i="35"/>
  <c r="K12" i="35" s="1"/>
  <c r="K32" i="35"/>
  <c r="L30" i="35" s="1"/>
  <c r="L33" i="35" l="1"/>
  <c r="L12" i="35" s="1"/>
  <c r="L32" i="35"/>
  <c r="J9" i="42" l="1"/>
  <c r="J32" i="37" s="1"/>
  <c r="L260" i="29"/>
  <c r="L278" i="29" s="1"/>
  <c r="F109" i="41"/>
  <c r="F34" i="41" s="1"/>
  <c r="G110" i="41"/>
  <c r="H110" i="41" l="1"/>
  <c r="I110" i="41" s="1"/>
  <c r="I109" i="41" s="1"/>
  <c r="G109" i="41"/>
  <c r="G34" i="41" s="1"/>
  <c r="J110" i="41" l="1"/>
  <c r="J109" i="41" s="1"/>
  <c r="H109" i="41"/>
  <c r="H34" i="41" s="1"/>
  <c r="I34" i="41" s="1"/>
  <c r="J34" i="41" l="1"/>
  <c r="K110" i="41" l="1"/>
  <c r="K109" i="41" s="1"/>
  <c r="K34" i="41" s="1"/>
  <c r="G103" i="41"/>
  <c r="H103" i="41" s="1"/>
  <c r="H102" i="41" s="1"/>
  <c r="F102" i="41"/>
  <c r="F33" i="41" s="1"/>
  <c r="I103" i="41" l="1"/>
  <c r="I102" i="41" s="1"/>
  <c r="G102" i="41"/>
  <c r="G33" i="41" s="1"/>
  <c r="H33" i="41" s="1"/>
  <c r="J103" i="41" l="1"/>
  <c r="I33" i="41"/>
  <c r="J102" i="41" l="1"/>
  <c r="J33" i="41" s="1"/>
  <c r="G96" i="41" l="1"/>
  <c r="G95" i="41" s="1"/>
  <c r="F95" i="41"/>
  <c r="F32" i="41" s="1"/>
  <c r="H96" i="41" l="1"/>
  <c r="H95" i="41" s="1"/>
  <c r="G32" i="41"/>
  <c r="K103" i="41" l="1"/>
  <c r="K102" i="41" s="1"/>
  <c r="K33" i="41" s="1"/>
  <c r="I96" i="41"/>
  <c r="H32" i="41"/>
  <c r="I95" i="41" l="1"/>
  <c r="I32" i="41" s="1"/>
  <c r="J96" i="41"/>
  <c r="J95" i="41" l="1"/>
  <c r="J32" i="41" s="1"/>
  <c r="G89" i="41"/>
  <c r="G88" i="41" s="1"/>
  <c r="G87" i="41" s="1"/>
  <c r="F87" i="41"/>
  <c r="F31" i="41" l="1"/>
  <c r="H89" i="41"/>
  <c r="H88" i="41" s="1"/>
  <c r="H87" i="41" s="1"/>
  <c r="I89" i="41" l="1"/>
  <c r="J89" i="41" s="1"/>
  <c r="J88" i="41" s="1"/>
  <c r="J87" i="41" s="1"/>
  <c r="G31" i="41"/>
  <c r="F30" i="41"/>
  <c r="E11" i="37" s="1"/>
  <c r="I88" i="41" l="1"/>
  <c r="I87" i="41" s="1"/>
  <c r="G30" i="41"/>
  <c r="F11" i="37" s="1"/>
  <c r="H31" i="41"/>
  <c r="H30" i="41" s="1"/>
  <c r="G11" i="37" s="1"/>
  <c r="I31" i="41" l="1"/>
  <c r="I30" i="41" s="1"/>
  <c r="H11" i="37" s="1"/>
  <c r="K96" i="41"/>
  <c r="K95" i="41" s="1"/>
  <c r="K32" i="41" s="1"/>
  <c r="J31" i="41" l="1"/>
  <c r="J30" i="41" s="1"/>
  <c r="I11" i="37" s="1"/>
  <c r="K89" i="41" l="1"/>
  <c r="K88" i="41" s="1"/>
  <c r="K87" i="41" l="1"/>
  <c r="K31" i="41"/>
  <c r="K30" i="41" s="1"/>
  <c r="J11" i="37" s="1"/>
  <c r="G81" i="41"/>
  <c r="F80" i="41"/>
  <c r="F29" i="41" s="1"/>
  <c r="G80" i="41" l="1"/>
  <c r="G29" i="41" s="1"/>
  <c r="H81" i="41"/>
  <c r="I81" i="41" s="1"/>
  <c r="I80" i="41" s="1"/>
  <c r="J81" i="41" l="1"/>
  <c r="J80" i="41" s="1"/>
  <c r="H80" i="41"/>
  <c r="H29" i="41" s="1"/>
  <c r="I29" i="41" s="1"/>
  <c r="K81" i="41" l="1"/>
  <c r="J29" i="41"/>
  <c r="F73" i="41" l="1"/>
  <c r="F28" i="41" s="1"/>
  <c r="G74" i="41"/>
  <c r="G73" i="41" s="1"/>
  <c r="K80" i="41" l="1"/>
  <c r="K29" i="41" s="1"/>
  <c r="G28" i="41"/>
  <c r="H74" i="41"/>
  <c r="I74" i="41" s="1"/>
  <c r="I73" i="41" s="1"/>
  <c r="H73" i="41" l="1"/>
  <c r="H28" i="41" s="1"/>
  <c r="I28" i="41" s="1"/>
  <c r="J74" i="41"/>
  <c r="J73" i="41" s="1"/>
  <c r="J28" i="41" l="1"/>
  <c r="F66" i="41" l="1"/>
  <c r="F27" i="41" s="1"/>
  <c r="G67" i="41"/>
  <c r="K74" i="41" l="1"/>
  <c r="K73" i="41" s="1"/>
  <c r="K28" i="41" s="1"/>
  <c r="H67" i="41"/>
  <c r="G66" i="41"/>
  <c r="G27" i="41" s="1"/>
  <c r="H66" i="41" l="1"/>
  <c r="H27" i="41" s="1"/>
  <c r="I67" i="41"/>
  <c r="I66" i="41" s="1"/>
  <c r="I27" i="41" l="1"/>
  <c r="J67" i="41"/>
  <c r="J66" i="41" s="1"/>
  <c r="J27" i="41" s="1"/>
  <c r="G60" i="41" l="1"/>
  <c r="G59" i="41" s="1"/>
  <c r="F59" i="41"/>
  <c r="F26" i="41" s="1"/>
  <c r="G26" i="41" l="1"/>
  <c r="H60" i="41"/>
  <c r="K67" i="41" l="1"/>
  <c r="K66" i="41" s="1"/>
  <c r="K27" i="41" s="1"/>
  <c r="H59" i="41"/>
  <c r="H26" i="41" s="1"/>
  <c r="I60" i="41"/>
  <c r="I59" i="41" s="1"/>
  <c r="J60" i="41" l="1"/>
  <c r="J59" i="41" s="1"/>
  <c r="I26" i="41"/>
  <c r="J26" i="41" l="1"/>
  <c r="G53" i="41" l="1"/>
  <c r="F52" i="41"/>
  <c r="F25" i="41" s="1"/>
  <c r="H53" i="41" l="1"/>
  <c r="H52" i="41" s="1"/>
  <c r="K60" i="41"/>
  <c r="K59" i="41" s="1"/>
  <c r="K26" i="41" s="1"/>
  <c r="G52" i="41"/>
  <c r="G25" i="41" s="1"/>
  <c r="H25" i="41" l="1"/>
  <c r="I53" i="41"/>
  <c r="I52" i="41" s="1"/>
  <c r="I25" i="41" l="1"/>
  <c r="J53" i="41"/>
  <c r="K53" i="41" s="1"/>
  <c r="J52" i="41" l="1"/>
  <c r="J25" i="41" s="1"/>
  <c r="F45" i="41"/>
  <c r="F24" i="41" s="1"/>
  <c r="G46" i="41"/>
  <c r="H46" i="41" l="1"/>
  <c r="H45" i="41" s="1"/>
  <c r="G45" i="41"/>
  <c r="G24" i="41" s="1"/>
  <c r="K52" i="41"/>
  <c r="K25" i="41" s="1"/>
  <c r="I46" i="41" l="1"/>
  <c r="J46" i="41" s="1"/>
  <c r="J45" i="41" s="1"/>
  <c r="H24" i="41"/>
  <c r="I45" i="41" l="1"/>
  <c r="I24" i="41" s="1"/>
  <c r="J24" i="41" s="1"/>
  <c r="K46" i="41"/>
  <c r="K45" i="41" l="1"/>
  <c r="K24" i="41" s="1"/>
  <c r="G39" i="41"/>
  <c r="F38" i="41"/>
  <c r="F37" i="41" s="1"/>
  <c r="F36" i="41" s="1"/>
  <c r="H39" i="41" l="1"/>
  <c r="H38" i="41" s="1"/>
  <c r="H37" i="41" s="1"/>
  <c r="H36" i="41" s="1"/>
  <c r="G65" i="32" s="1"/>
  <c r="G38" i="41"/>
  <c r="G37" i="41" s="1"/>
  <c r="G36" i="41" s="1"/>
  <c r="F65" i="32" s="1"/>
  <c r="E11" i="32"/>
  <c r="E65" i="32"/>
  <c r="E38" i="32"/>
  <c r="E22" i="30"/>
  <c r="E24" i="30" s="1"/>
  <c r="F23" i="41"/>
  <c r="I39" i="41" l="1"/>
  <c r="I38" i="41" s="1"/>
  <c r="I37" i="41" s="1"/>
  <c r="I36" i="41" s="1"/>
  <c r="H38" i="32" s="1"/>
  <c r="G11" i="32"/>
  <c r="G22" i="30"/>
  <c r="F38" i="32"/>
  <c r="G38" i="32"/>
  <c r="F22" i="30"/>
  <c r="F11" i="32"/>
  <c r="E63" i="32"/>
  <c r="E9" i="32"/>
  <c r="E36" i="32"/>
  <c r="E27" i="30"/>
  <c r="F22" i="41"/>
  <c r="G23" i="41"/>
  <c r="H65" i="32" l="1"/>
  <c r="H11" i="32"/>
  <c r="H22" i="30"/>
  <c r="J39" i="41"/>
  <c r="K39" i="41" s="1"/>
  <c r="G22" i="41"/>
  <c r="H23" i="41"/>
  <c r="F21" i="41"/>
  <c r="E8" i="37"/>
  <c r="E7" i="37" s="1"/>
  <c r="E58" i="34" s="1"/>
  <c r="E6" i="46"/>
  <c r="J38" i="41" l="1"/>
  <c r="J37" i="41" s="1"/>
  <c r="J36" i="41" s="1"/>
  <c r="I22" i="30" s="1"/>
  <c r="E33" i="46"/>
  <c r="E31" i="46"/>
  <c r="E13" i="46"/>
  <c r="H22" i="41"/>
  <c r="I23" i="41"/>
  <c r="G21" i="41"/>
  <c r="F8" i="37"/>
  <c r="F7" i="37" s="1"/>
  <c r="F58" i="34" s="1"/>
  <c r="I38" i="32" l="1"/>
  <c r="I11" i="32"/>
  <c r="I65" i="32"/>
  <c r="K38" i="41"/>
  <c r="G8" i="37"/>
  <c r="G7" i="37" s="1"/>
  <c r="G58" i="34" s="1"/>
  <c r="H21" i="41"/>
  <c r="I14" i="46"/>
  <c r="H14" i="46"/>
  <c r="F14" i="46"/>
  <c r="E14" i="46"/>
  <c r="E30" i="46" s="1"/>
  <c r="G14" i="46"/>
  <c r="I22" i="41"/>
  <c r="J23" i="41"/>
  <c r="E9" i="46"/>
  <c r="E30" i="30" s="1"/>
  <c r="E8" i="46"/>
  <c r="K37" i="41" l="1"/>
  <c r="K36" i="41" s="1"/>
  <c r="K23" i="41"/>
  <c r="K22" i="41" s="1"/>
  <c r="E29" i="30"/>
  <c r="E28" i="30" s="1"/>
  <c r="E7" i="46"/>
  <c r="E10" i="46" s="1"/>
  <c r="J22" i="41"/>
  <c r="I21" i="41"/>
  <c r="H8" i="37"/>
  <c r="H7" i="37" s="1"/>
  <c r="H58" i="34" s="1"/>
  <c r="E71" i="34" l="1"/>
  <c r="E33" i="36"/>
  <c r="E18" i="36" s="1"/>
  <c r="E6" i="36" s="1"/>
  <c r="E10" i="32"/>
  <c r="E14" i="32" s="1"/>
  <c r="E64" i="32"/>
  <c r="E68" i="32" s="1"/>
  <c r="E37" i="32"/>
  <c r="E41" i="32" s="1"/>
  <c r="E31" i="30"/>
  <c r="K21" i="41"/>
  <c r="J8" i="37"/>
  <c r="J65" i="32"/>
  <c r="J38" i="32"/>
  <c r="J11" i="32"/>
  <c r="J22" i="30"/>
  <c r="I8" i="37"/>
  <c r="I7" i="37" s="1"/>
  <c r="I58" i="34" s="1"/>
  <c r="J21" i="41"/>
  <c r="E72" i="34" l="1"/>
  <c r="E41" i="34" s="1"/>
  <c r="E10" i="42"/>
  <c r="E18" i="32"/>
  <c r="E16" i="32"/>
  <c r="E43" i="32"/>
  <c r="E48" i="32" s="1"/>
  <c r="E49" i="32" s="1"/>
  <c r="E52" i="32" s="1"/>
  <c r="E45" i="32"/>
  <c r="E50" i="32" s="1"/>
  <c r="E51" i="32" s="1"/>
  <c r="E47" i="32" s="1"/>
  <c r="E15" i="42" l="1"/>
  <c r="E17" i="42" s="1"/>
  <c r="F12" i="42"/>
  <c r="F48" i="36" s="1"/>
  <c r="F13" i="42"/>
  <c r="F34" i="37" s="1"/>
  <c r="E35" i="37"/>
  <c r="E30" i="37" s="1"/>
  <c r="F11" i="42" l="1"/>
  <c r="F33" i="37" s="1"/>
  <c r="G264" i="29"/>
  <c r="E63" i="34"/>
  <c r="E47" i="34" s="1"/>
  <c r="E94" i="32"/>
  <c r="E42" i="36"/>
  <c r="E41" i="36" s="1"/>
  <c r="E40" i="36" s="1"/>
  <c r="E58" i="36" s="1"/>
  <c r="E18" i="42"/>
  <c r="E72" i="32"/>
  <c r="E60" i="36" l="1"/>
  <c r="E15" i="35" s="1"/>
  <c r="H237" i="29"/>
  <c r="F19" i="30" s="1"/>
  <c r="E76" i="32"/>
  <c r="E74" i="32"/>
  <c r="J7" i="37"/>
  <c r="E28" i="37" l="1"/>
  <c r="E17" i="37" s="1"/>
  <c r="F57" i="36"/>
  <c r="F12" i="36"/>
  <c r="F7" i="36" s="1"/>
  <c r="F21" i="30"/>
  <c r="F19" i="35"/>
  <c r="F11" i="35" s="1"/>
  <c r="F9" i="35" s="1"/>
  <c r="E20" i="35"/>
  <c r="J58" i="34"/>
  <c r="E58" i="32"/>
  <c r="E20" i="34" s="1"/>
  <c r="J73" i="32"/>
  <c r="E89" i="32" s="1"/>
  <c r="E27" i="34" s="1"/>
  <c r="J42" i="32"/>
  <c r="J15" i="32"/>
  <c r="E31" i="32"/>
  <c r="E13" i="34" s="1"/>
  <c r="E62" i="34" l="1"/>
  <c r="F69" i="34"/>
  <c r="F40" i="34" s="1"/>
  <c r="F24" i="30"/>
  <c r="F18" i="35"/>
  <c r="F21" i="35" s="1"/>
  <c r="F12" i="35" s="1"/>
  <c r="E8" i="35"/>
  <c r="F46" i="36"/>
  <c r="F71" i="32"/>
  <c r="E29" i="37"/>
  <c r="E59" i="34"/>
  <c r="E6" i="35" l="1"/>
  <c r="E48" i="37"/>
  <c r="E44" i="37" s="1"/>
  <c r="E65" i="34" s="1"/>
  <c r="E49" i="34" s="1"/>
  <c r="F49" i="36"/>
  <c r="F44" i="36" s="1"/>
  <c r="F26" i="30"/>
  <c r="E46" i="34"/>
  <c r="E42" i="34"/>
  <c r="E44" i="34"/>
  <c r="E51" i="34"/>
  <c r="F9" i="32"/>
  <c r="F63" i="32"/>
  <c r="F36" i="32"/>
  <c r="F27" i="30" l="1"/>
  <c r="F6" i="46" s="1"/>
  <c r="F70" i="34"/>
  <c r="F69" i="32"/>
  <c r="E40" i="37"/>
  <c r="E93" i="32" l="1"/>
  <c r="E38" i="37"/>
  <c r="F31" i="46"/>
  <c r="F32" i="46" s="1"/>
  <c r="F33" i="46" s="1"/>
  <c r="F16" i="46"/>
  <c r="E81" i="32"/>
  <c r="E79" i="32"/>
  <c r="F8" i="46" l="1"/>
  <c r="F9" i="46"/>
  <c r="F30" i="30" s="1"/>
  <c r="J17" i="46"/>
  <c r="H17" i="46"/>
  <c r="F17" i="46"/>
  <c r="F30" i="46" s="1"/>
  <c r="G17" i="46"/>
  <c r="I17" i="46"/>
  <c r="E64" i="34"/>
  <c r="E54" i="37"/>
  <c r="E55" i="37" s="1"/>
  <c r="E56" i="37" s="1"/>
  <c r="E99" i="32"/>
  <c r="E95" i="32"/>
  <c r="E97" i="32" s="1"/>
  <c r="E80" i="32"/>
  <c r="E82" i="32"/>
  <c r="E96" i="32" l="1"/>
  <c r="D299" i="29" s="1"/>
  <c r="F19" i="32" s="1"/>
  <c r="E53" i="34"/>
  <c r="E52" i="34"/>
  <c r="F29" i="30"/>
  <c r="F28" i="30" s="1"/>
  <c r="F7" i="46"/>
  <c r="F10" i="46" s="1"/>
  <c r="E78" i="32"/>
  <c r="E83" i="32"/>
  <c r="E104" i="32" l="1"/>
  <c r="J19" i="32"/>
  <c r="H19" i="32"/>
  <c r="E19" i="32"/>
  <c r="E21" i="32" s="1"/>
  <c r="E22" i="32" s="1"/>
  <c r="E25" i="32" s="1"/>
  <c r="G19" i="32"/>
  <c r="I19" i="32"/>
  <c r="F33" i="36"/>
  <c r="F18" i="36" s="1"/>
  <c r="F6" i="36" s="1"/>
  <c r="F71" i="34"/>
  <c r="F37" i="32"/>
  <c r="F41" i="32" s="1"/>
  <c r="F10" i="32"/>
  <c r="F14" i="32" s="1"/>
  <c r="F64" i="32"/>
  <c r="F68" i="32" s="1"/>
  <c r="F31" i="30"/>
  <c r="E23" i="32" l="1"/>
  <c r="E24" i="32" s="1"/>
  <c r="F43" i="32"/>
  <c r="F48" i="32" s="1"/>
  <c r="F49" i="32" s="1"/>
  <c r="F52" i="32" s="1"/>
  <c r="F45" i="32"/>
  <c r="F50" i="32" s="1"/>
  <c r="F51" i="32" s="1"/>
  <c r="F47" i="32" s="1"/>
  <c r="F10" i="42"/>
  <c r="F72" i="34"/>
  <c r="F41" i="34" s="1"/>
  <c r="F18" i="32"/>
  <c r="F23" i="32" s="1"/>
  <c r="F24" i="32" s="1"/>
  <c r="F20" i="32" s="1"/>
  <c r="F16" i="32"/>
  <c r="F21" i="32" s="1"/>
  <c r="F22" i="32" s="1"/>
  <c r="F25" i="32" s="1"/>
  <c r="E20" i="32"/>
  <c r="F15" i="42" l="1"/>
  <c r="F35" i="37"/>
  <c r="F30" i="37" s="1"/>
  <c r="G12" i="42"/>
  <c r="G48" i="36" s="1"/>
  <c r="G13" i="42"/>
  <c r="G34" i="37" s="1"/>
  <c r="H264" i="29" l="1"/>
  <c r="F94" i="32"/>
  <c r="F63" i="34"/>
  <c r="F47" i="34" s="1"/>
  <c r="G11" i="42"/>
  <c r="G33" i="37" s="1"/>
  <c r="F17" i="42"/>
  <c r="F42" i="36" s="1"/>
  <c r="F41" i="36" s="1"/>
  <c r="F40" i="36" s="1"/>
  <c r="F58" i="36" s="1"/>
  <c r="F18" i="42"/>
  <c r="F60" i="36" l="1"/>
  <c r="F15" i="35" s="1"/>
  <c r="I237" i="29"/>
  <c r="G19" i="30" s="1"/>
  <c r="F72" i="32"/>
  <c r="F74" i="32" s="1"/>
  <c r="F28" i="37" l="1"/>
  <c r="F17" i="37" s="1"/>
  <c r="G57" i="36"/>
  <c r="G12" i="36"/>
  <c r="G7" i="36" s="1"/>
  <c r="G21" i="30"/>
  <c r="G19" i="35"/>
  <c r="G11" i="35" s="1"/>
  <c r="G9" i="35" s="1"/>
  <c r="F20" i="35"/>
  <c r="F76" i="32"/>
  <c r="F81" i="32" s="1"/>
  <c r="F79" i="32"/>
  <c r="F62" i="34" l="1"/>
  <c r="G46" i="36"/>
  <c r="G71" i="32"/>
  <c r="G24" i="30"/>
  <c r="G69" i="34"/>
  <c r="G40" i="34" s="1"/>
  <c r="F59" i="34"/>
  <c r="F29" i="37"/>
  <c r="G18" i="35"/>
  <c r="G21" i="35" s="1"/>
  <c r="G12" i="35" s="1"/>
  <c r="F8" i="35"/>
  <c r="F80" i="32"/>
  <c r="F82" i="32"/>
  <c r="G49" i="36" l="1"/>
  <c r="G44" i="36" s="1"/>
  <c r="G26" i="30"/>
  <c r="G27" i="30" s="1"/>
  <c r="G6" i="46" s="1"/>
  <c r="F48" i="37"/>
  <c r="F44" i="37" s="1"/>
  <c r="F65" i="34" s="1"/>
  <c r="F49" i="34" s="1"/>
  <c r="F6" i="35"/>
  <c r="G9" i="32"/>
  <c r="G36" i="32"/>
  <c r="G63" i="32"/>
  <c r="F42" i="34"/>
  <c r="F46" i="34"/>
  <c r="F51" i="34"/>
  <c r="F44" i="34"/>
  <c r="F78" i="32"/>
  <c r="F83" i="32"/>
  <c r="F40" i="37" l="1"/>
  <c r="F93" i="32" s="1"/>
  <c r="G19" i="46"/>
  <c r="G31" i="46"/>
  <c r="G32" i="46" s="1"/>
  <c r="G33" i="46" s="1"/>
  <c r="G9" i="46" s="1"/>
  <c r="G30" i="30" s="1"/>
  <c r="G69" i="32"/>
  <c r="G70" i="34"/>
  <c r="F38" i="37" l="1"/>
  <c r="F54" i="37" s="1"/>
  <c r="F55" i="37" s="1"/>
  <c r="F56" i="37" s="1"/>
  <c r="F95" i="32"/>
  <c r="F97" i="32" s="1"/>
  <c r="F99" i="32"/>
  <c r="G8" i="46"/>
  <c r="G7" i="46" s="1"/>
  <c r="G10" i="46" s="1"/>
  <c r="J20" i="46"/>
  <c r="H20" i="46"/>
  <c r="G20" i="46"/>
  <c r="G30" i="46" s="1"/>
  <c r="I20" i="46"/>
  <c r="F64" i="34" l="1"/>
  <c r="F52" i="34" s="1"/>
  <c r="F96" i="32"/>
  <c r="F104" i="32" s="1"/>
  <c r="G29" i="30"/>
  <c r="G28" i="30" s="1"/>
  <c r="G33" i="36" s="1"/>
  <c r="G18" i="36" s="1"/>
  <c r="G6" i="36" s="1"/>
  <c r="F53" i="34" l="1"/>
  <c r="G71" i="34"/>
  <c r="G37" i="32"/>
  <c r="G41" i="32" s="1"/>
  <c r="G45" i="32" s="1"/>
  <c r="G50" i="32" s="1"/>
  <c r="G64" i="32"/>
  <c r="G68" i="32" s="1"/>
  <c r="G10" i="32"/>
  <c r="G14" i="32" s="1"/>
  <c r="G16" i="32" s="1"/>
  <c r="G21" i="32" s="1"/>
  <c r="G31" i="30"/>
  <c r="G10" i="42" s="1"/>
  <c r="H12" i="42" s="1"/>
  <c r="G43" i="32" l="1"/>
  <c r="G48" i="32" s="1"/>
  <c r="G49" i="32" s="1"/>
  <c r="G15" i="42"/>
  <c r="G17" i="42" s="1"/>
  <c r="G42" i="36" s="1"/>
  <c r="G18" i="32"/>
  <c r="G23" i="32" s="1"/>
  <c r="G24" i="32" s="1"/>
  <c r="G72" i="34"/>
  <c r="G41" i="34" s="1"/>
  <c r="G35" i="37"/>
  <c r="G30" i="37" s="1"/>
  <c r="I264" i="29" s="1"/>
  <c r="H13" i="42"/>
  <c r="H34" i="37" s="1"/>
  <c r="H48" i="36"/>
  <c r="G51" i="32"/>
  <c r="G22" i="32"/>
  <c r="G18" i="42" l="1"/>
  <c r="G63" i="34"/>
  <c r="G47" i="34" s="1"/>
  <c r="H11" i="42"/>
  <c r="H33" i="37" s="1"/>
  <c r="G94" i="32"/>
  <c r="G41" i="36"/>
  <c r="G40" i="36" s="1"/>
  <c r="G58" i="36" s="1"/>
  <c r="G52" i="32"/>
  <c r="G20" i="32"/>
  <c r="G25" i="32"/>
  <c r="G47" i="32"/>
  <c r="G60" i="36" l="1"/>
  <c r="J237" i="29"/>
  <c r="G15" i="35" l="1"/>
  <c r="H19" i="35" s="1"/>
  <c r="H11" i="35" s="1"/>
  <c r="H9" i="35" s="1"/>
  <c r="H19" i="30"/>
  <c r="H21" i="30" s="1"/>
  <c r="G28" i="37"/>
  <c r="G17" i="37" s="1"/>
  <c r="H57" i="36"/>
  <c r="G20" i="35" l="1"/>
  <c r="G8" i="35" s="1"/>
  <c r="G48" i="37" s="1"/>
  <c r="G44" i="37" s="1"/>
  <c r="G65" i="34" s="1"/>
  <c r="H12" i="36"/>
  <c r="H7" i="36" s="1"/>
  <c r="H24" i="30"/>
  <c r="H9" i="32" s="1"/>
  <c r="H69" i="34"/>
  <c r="H40" i="34" s="1"/>
  <c r="H46" i="36"/>
  <c r="H71" i="32"/>
  <c r="G62" i="34"/>
  <c r="G59" i="34"/>
  <c r="G29" i="37"/>
  <c r="G72" i="32"/>
  <c r="G6" i="35" l="1"/>
  <c r="G40" i="37" s="1"/>
  <c r="G38" i="37" s="1"/>
  <c r="H18" i="35"/>
  <c r="H21" i="35" s="1"/>
  <c r="H12" i="35" s="1"/>
  <c r="H36" i="32"/>
  <c r="H63" i="32"/>
  <c r="G46" i="34"/>
  <c r="G42" i="34"/>
  <c r="G51" i="34"/>
  <c r="G74" i="32"/>
  <c r="G76" i="32"/>
  <c r="G49" i="34"/>
  <c r="G44" i="34"/>
  <c r="H26" i="30" l="1"/>
  <c r="H49" i="36"/>
  <c r="H44" i="36" s="1"/>
  <c r="G93" i="32"/>
  <c r="G95" i="32" s="1"/>
  <c r="G97" i="32" s="1"/>
  <c r="G81" i="32"/>
  <c r="G79" i="32"/>
  <c r="G64" i="34"/>
  <c r="G54" i="37"/>
  <c r="G55" i="37" s="1"/>
  <c r="G56" i="37" s="1"/>
  <c r="H27" i="30" l="1"/>
  <c r="H6" i="46" s="1"/>
  <c r="H70" i="34"/>
  <c r="H69" i="32"/>
  <c r="G99" i="32"/>
  <c r="G96" i="32"/>
  <c r="G104" i="32" s="1"/>
  <c r="G80" i="32"/>
  <c r="G52" i="34"/>
  <c r="G53" i="34"/>
  <c r="G82" i="32"/>
  <c r="H22" i="46" l="1"/>
  <c r="J23" i="46" s="1"/>
  <c r="H31" i="46"/>
  <c r="H32" i="46" s="1"/>
  <c r="G78" i="32"/>
  <c r="G83" i="32"/>
  <c r="H33" i="46" l="1"/>
  <c r="H8" i="46" s="1"/>
  <c r="I23" i="46"/>
  <c r="H23" i="46"/>
  <c r="H30" i="46" s="1"/>
  <c r="H9" i="46" l="1"/>
  <c r="H30" i="30" s="1"/>
  <c r="H29" i="30"/>
  <c r="H28" i="30" l="1"/>
  <c r="H71" i="34" s="1"/>
  <c r="H7" i="46"/>
  <c r="H10" i="46" s="1"/>
  <c r="H64" i="32" l="1"/>
  <c r="H68" i="32" s="1"/>
  <c r="H37" i="32"/>
  <c r="H41" i="32" s="1"/>
  <c r="H45" i="32" s="1"/>
  <c r="H50" i="32" s="1"/>
  <c r="H51" i="32" s="1"/>
  <c r="H33" i="36"/>
  <c r="H18" i="36" s="1"/>
  <c r="H6" i="36" s="1"/>
  <c r="H10" i="32"/>
  <c r="H14" i="32" s="1"/>
  <c r="H31" i="30"/>
  <c r="H10" i="42" s="1"/>
  <c r="H18" i="32" l="1"/>
  <c r="H23" i="32" s="1"/>
  <c r="H24" i="32" s="1"/>
  <c r="H20" i="32" s="1"/>
  <c r="H16" i="32"/>
  <c r="H21" i="32" s="1"/>
  <c r="H22" i="32" s="1"/>
  <c r="H25" i="32" s="1"/>
  <c r="H72" i="34"/>
  <c r="H41" i="34" s="1"/>
  <c r="H43" i="32"/>
  <c r="H48" i="32" s="1"/>
  <c r="H49" i="32" s="1"/>
  <c r="H52" i="32" s="1"/>
  <c r="I13" i="42"/>
  <c r="I34" i="37" s="1"/>
  <c r="H15" i="42"/>
  <c r="I12" i="42"/>
  <c r="H35" i="37"/>
  <c r="H30" i="37" s="1"/>
  <c r="H47" i="32"/>
  <c r="J264" i="29" l="1"/>
  <c r="H94" i="32"/>
  <c r="H63" i="34"/>
  <c r="H47" i="34" s="1"/>
  <c r="H17" i="42"/>
  <c r="H42" i="36" s="1"/>
  <c r="H41" i="36" s="1"/>
  <c r="H40" i="36" s="1"/>
  <c r="H58" i="36" s="1"/>
  <c r="K237" i="29" s="1"/>
  <c r="H18" i="42"/>
  <c r="I48" i="36"/>
  <c r="I11" i="42"/>
  <c r="I33" i="37" s="1"/>
  <c r="H60" i="36" l="1"/>
  <c r="I19" i="30"/>
  <c r="I12" i="36" s="1"/>
  <c r="I7" i="36" s="1"/>
  <c r="H15" i="35" l="1"/>
  <c r="I19" i="35" s="1"/>
  <c r="I11" i="35" s="1"/>
  <c r="I9" i="35" s="1"/>
  <c r="I57" i="36"/>
  <c r="H28" i="37"/>
  <c r="H17" i="37" s="1"/>
  <c r="H59" i="34" s="1"/>
  <c r="H44" i="34" s="1"/>
  <c r="I21" i="30"/>
  <c r="I69" i="34" s="1"/>
  <c r="I40" i="34" s="1"/>
  <c r="H20" i="35" l="1"/>
  <c r="I18" i="35" s="1"/>
  <c r="I21" i="35" s="1"/>
  <c r="I12" i="35" s="1"/>
  <c r="I26" i="30" s="1"/>
  <c r="I70" i="34" s="1"/>
  <c r="I46" i="36"/>
  <c r="I71" i="32"/>
  <c r="H62" i="34"/>
  <c r="H51" i="34"/>
  <c r="H29" i="37"/>
  <c r="H42" i="34"/>
  <c r="H46" i="34"/>
  <c r="I24" i="30"/>
  <c r="I9" i="32" s="1"/>
  <c r="H72" i="32"/>
  <c r="H76" i="32" s="1"/>
  <c r="H8" i="35" l="1"/>
  <c r="H6" i="35" s="1"/>
  <c r="I49" i="36"/>
  <c r="I44" i="36" s="1"/>
  <c r="I69" i="32"/>
  <c r="I36" i="32"/>
  <c r="I27" i="30"/>
  <c r="I6" i="46" s="1"/>
  <c r="I25" i="46" s="1"/>
  <c r="I63" i="32"/>
  <c r="H74" i="32"/>
  <c r="H79" i="32" s="1"/>
  <c r="H81" i="32"/>
  <c r="H48" i="37" l="1"/>
  <c r="H44" i="37" s="1"/>
  <c r="H65" i="34" s="1"/>
  <c r="H49" i="34" s="1"/>
  <c r="J26" i="46"/>
  <c r="J29" i="46"/>
  <c r="I31" i="46"/>
  <c r="I32" i="46" s="1"/>
  <c r="I26" i="46"/>
  <c r="H82" i="32"/>
  <c r="H80" i="32"/>
  <c r="H40" i="37" l="1"/>
  <c r="H93" i="32" s="1"/>
  <c r="H95" i="32" s="1"/>
  <c r="H97" i="32" s="1"/>
  <c r="I30" i="46"/>
  <c r="I33" i="46"/>
  <c r="I9" i="46" s="1"/>
  <c r="I30" i="30" s="1"/>
  <c r="H83" i="32"/>
  <c r="H78" i="32"/>
  <c r="H38" i="37" l="1"/>
  <c r="H54" i="37" s="1"/>
  <c r="H55" i="37" s="1"/>
  <c r="H56" i="37" s="1"/>
  <c r="H99" i="32"/>
  <c r="H96" i="32"/>
  <c r="H104" i="32" s="1"/>
  <c r="I8" i="46"/>
  <c r="I7" i="46" s="1"/>
  <c r="I10" i="46" s="1"/>
  <c r="H64" i="34"/>
  <c r="H52" i="34" s="1"/>
  <c r="I29" i="30" l="1"/>
  <c r="I28" i="30" s="1"/>
  <c r="I64" i="32" s="1"/>
  <c r="I68" i="32" s="1"/>
  <c r="H53" i="34"/>
  <c r="I33" i="36" l="1"/>
  <c r="I18" i="36" s="1"/>
  <c r="I6" i="36" s="1"/>
  <c r="I10" i="32"/>
  <c r="I14" i="32" s="1"/>
  <c r="I71" i="34"/>
  <c r="I37" i="32"/>
  <c r="I41" i="32" s="1"/>
  <c r="I45" i="32" s="1"/>
  <c r="I50" i="32" s="1"/>
  <c r="I31" i="30"/>
  <c r="I72" i="34" s="1"/>
  <c r="I41" i="34" s="1"/>
  <c r="I16" i="32" l="1"/>
  <c r="I21" i="32" s="1"/>
  <c r="I22" i="32" s="1"/>
  <c r="I10" i="42"/>
  <c r="I35" i="37" s="1"/>
  <c r="I30" i="37" s="1"/>
  <c r="K264" i="29" s="1"/>
  <c r="I18" i="32"/>
  <c r="I23" i="32" s="1"/>
  <c r="I24" i="32" s="1"/>
  <c r="I43" i="32"/>
  <c r="I48" i="32" s="1"/>
  <c r="I49" i="32" s="1"/>
  <c r="I51" i="32"/>
  <c r="I20" i="32" l="1"/>
  <c r="J13" i="42"/>
  <c r="J34" i="37" s="1"/>
  <c r="I15" i="42"/>
  <c r="I17" i="42" s="1"/>
  <c r="J12" i="42"/>
  <c r="J48" i="36" s="1"/>
  <c r="I63" i="34"/>
  <c r="I47" i="34" s="1"/>
  <c r="I94" i="32"/>
  <c r="I52" i="32"/>
  <c r="I47" i="32"/>
  <c r="I25" i="32"/>
  <c r="I42" i="36" l="1"/>
  <c r="I41" i="36" s="1"/>
  <c r="I40" i="36" s="1"/>
  <c r="I58" i="36" s="1"/>
  <c r="J11" i="42"/>
  <c r="J33" i="37" s="1"/>
  <c r="I18" i="42"/>
  <c r="L237" i="29" l="1"/>
  <c r="J19" i="30" s="1"/>
  <c r="J21" i="30" s="1"/>
  <c r="I60" i="36"/>
  <c r="I15" i="35" s="1"/>
  <c r="J57" i="36" l="1"/>
  <c r="I28" i="37"/>
  <c r="I17" i="37" s="1"/>
  <c r="I29" i="37" s="1"/>
  <c r="J19" i="35"/>
  <c r="J11" i="35" s="1"/>
  <c r="I20" i="35"/>
  <c r="J18" i="35" s="1"/>
  <c r="J21" i="35" s="1"/>
  <c r="I59" i="34" l="1"/>
  <c r="I44" i="34" s="1"/>
  <c r="I62" i="34"/>
  <c r="I8" i="35"/>
  <c r="I6" i="35" s="1"/>
  <c r="I72" i="32"/>
  <c r="I76" i="32" s="1"/>
  <c r="I51" i="34" l="1"/>
  <c r="I42" i="34"/>
  <c r="I46" i="34"/>
  <c r="I74" i="32"/>
  <c r="I79" i="32" s="1"/>
  <c r="I81" i="32"/>
  <c r="I80" i="32" l="1"/>
  <c r="I82" i="32"/>
  <c r="I78" i="32" l="1"/>
  <c r="I83" i="32"/>
  <c r="J9" i="35" l="1"/>
  <c r="J46" i="36" s="1"/>
  <c r="K19" i="35"/>
  <c r="L19" i="35" s="1"/>
  <c r="I48" i="37" l="1"/>
  <c r="J12" i="36"/>
  <c r="J7" i="36" s="1"/>
  <c r="J12" i="35"/>
  <c r="J26" i="30" s="1"/>
  <c r="J69" i="34"/>
  <c r="J40" i="34" s="1"/>
  <c r="J71" i="32"/>
  <c r="I44" i="37" l="1"/>
  <c r="I65" i="34" s="1"/>
  <c r="I49" i="34" s="1"/>
  <c r="I40" i="37"/>
  <c r="J49" i="36"/>
  <c r="J44" i="36" s="1"/>
  <c r="J69" i="32"/>
  <c r="J24" i="30"/>
  <c r="J36" i="32" s="1"/>
  <c r="I38" i="37" l="1"/>
  <c r="I93" i="32"/>
  <c r="J70" i="34"/>
  <c r="J63" i="32"/>
  <c r="J9" i="32"/>
  <c r="J27" i="30"/>
  <c r="I99" i="32" l="1"/>
  <c r="I95" i="32"/>
  <c r="I97" i="32" s="1"/>
  <c r="I54" i="37"/>
  <c r="I55" i="37" s="1"/>
  <c r="I56" i="37" s="1"/>
  <c r="I64" i="34"/>
  <c r="J6" i="46"/>
  <c r="J31" i="46" s="1"/>
  <c r="J32" i="46" l="1"/>
  <c r="J30" i="46" s="1"/>
  <c r="I53" i="34"/>
  <c r="I52" i="34"/>
  <c r="I96" i="32"/>
  <c r="I104" i="32" s="1"/>
  <c r="J28" i="46"/>
  <c r="J33" i="46" l="1"/>
  <c r="J8" i="46" l="1"/>
  <c r="J9" i="46"/>
  <c r="J30" i="30" s="1"/>
  <c r="J29" i="30" l="1"/>
  <c r="J28" i="30" s="1"/>
  <c r="J7" i="46"/>
  <c r="J10" i="46" s="1"/>
  <c r="J33" i="36" l="1"/>
  <c r="J18" i="36" s="1"/>
  <c r="J6" i="36" s="1"/>
  <c r="J64" i="32"/>
  <c r="J68" i="32" s="1"/>
  <c r="J31" i="30"/>
  <c r="J10" i="32"/>
  <c r="J14" i="32" s="1"/>
  <c r="J16" i="32" s="1"/>
  <c r="J37" i="32"/>
  <c r="J41" i="32" s="1"/>
  <c r="J71" i="34"/>
  <c r="E28" i="32" l="1"/>
  <c r="J17" i="32"/>
  <c r="J10" i="42"/>
  <c r="J72" i="34"/>
  <c r="J41" i="34" s="1"/>
  <c r="J43" i="32"/>
  <c r="J44" i="32"/>
  <c r="J35" i="37" l="1"/>
  <c r="J30" i="37" s="1"/>
  <c r="J15" i="42"/>
  <c r="J45" i="32"/>
  <c r="J50" i="32" s="1"/>
  <c r="E59" i="32"/>
  <c r="E21" i="34" s="1"/>
  <c r="J18" i="32"/>
  <c r="E32" i="32"/>
  <c r="E14" i="34" s="1"/>
  <c r="J48" i="32"/>
  <c r="E55" i="32"/>
  <c r="E18" i="34" s="1"/>
  <c r="J21" i="32"/>
  <c r="E11" i="34"/>
  <c r="J49" i="32" l="1"/>
  <c r="E54" i="32"/>
  <c r="E17" i="34" s="1"/>
  <c r="J18" i="42"/>
  <c r="J17" i="42"/>
  <c r="J42" i="36" s="1"/>
  <c r="J41" i="36" s="1"/>
  <c r="J40" i="36" s="1"/>
  <c r="J58" i="36" s="1"/>
  <c r="J60" i="36" s="1"/>
  <c r="J15" i="35" s="1"/>
  <c r="J20" i="35" s="1"/>
  <c r="F55" i="32"/>
  <c r="F18" i="34" s="1"/>
  <c r="J22" i="32"/>
  <c r="E27" i="32"/>
  <c r="E10" i="34" s="1"/>
  <c r="J23" i="32"/>
  <c r="F28" i="32"/>
  <c r="F11" i="34" s="1"/>
  <c r="L264" i="29"/>
  <c r="J94" i="32"/>
  <c r="J63" i="34"/>
  <c r="J47" i="34" s="1"/>
  <c r="J72" i="32"/>
  <c r="J75" i="32" s="1"/>
  <c r="E29" i="32" l="1"/>
  <c r="E12" i="34" s="1"/>
  <c r="J28" i="37"/>
  <c r="J17" i="37" s="1"/>
  <c r="J59" i="34" s="1"/>
  <c r="J44" i="34" s="1"/>
  <c r="J25" i="32"/>
  <c r="J24" i="32"/>
  <c r="F27" i="32"/>
  <c r="F10" i="34" s="1"/>
  <c r="J51" i="32"/>
  <c r="F54" i="32"/>
  <c r="F17" i="34" s="1"/>
  <c r="J52" i="32"/>
  <c r="E56" i="32" s="1"/>
  <c r="E19" i="34" s="1"/>
  <c r="J8" i="35"/>
  <c r="K18" i="35"/>
  <c r="J74" i="32"/>
  <c r="E86" i="32" s="1"/>
  <c r="J51" i="34" l="1"/>
  <c r="J42" i="34"/>
  <c r="J46" i="34"/>
  <c r="J29" i="37"/>
  <c r="J62" i="34"/>
  <c r="J20" i="32"/>
  <c r="F29" i="32" s="1"/>
  <c r="F12" i="34" s="1"/>
  <c r="J47" i="32"/>
  <c r="F56" i="32" s="1"/>
  <c r="F19" i="34" s="1"/>
  <c r="K20" i="35"/>
  <c r="L18" i="35" s="1"/>
  <c r="K21" i="35"/>
  <c r="J48" i="37"/>
  <c r="J44" i="37" s="1"/>
  <c r="J65" i="34" s="1"/>
  <c r="J49" i="34" s="1"/>
  <c r="J6" i="35"/>
  <c r="E25" i="34"/>
  <c r="J79" i="32"/>
  <c r="J80" i="32" s="1"/>
  <c r="J83" i="32" s="1"/>
  <c r="J76" i="32"/>
  <c r="E90" i="32"/>
  <c r="E28" i="34" s="1"/>
  <c r="J81" i="32" l="1"/>
  <c r="J40" i="37"/>
  <c r="J93" i="32" s="1"/>
  <c r="J99" i="32" s="1"/>
  <c r="L20" i="35"/>
  <c r="L21" i="35"/>
  <c r="E85" i="32"/>
  <c r="E24" i="34" s="1"/>
  <c r="F86" i="32"/>
  <c r="F25" i="34" s="1"/>
  <c r="J82" i="32" l="1"/>
  <c r="J78" i="32" s="1"/>
  <c r="J95" i="32"/>
  <c r="J97" i="32" s="1"/>
  <c r="J38" i="37"/>
  <c r="E87" i="32"/>
  <c r="E26" i="34" s="1"/>
  <c r="F85" i="32"/>
  <c r="F24" i="34" s="1"/>
  <c r="J96" i="32" l="1"/>
  <c r="J104" i="32" s="1"/>
  <c r="J54" i="37"/>
  <c r="J55" i="37" s="1"/>
  <c r="J56" i="37" s="1"/>
  <c r="J64" i="34"/>
  <c r="F87" i="32"/>
  <c r="F26" i="34" s="1"/>
  <c r="J52" i="34" l="1"/>
  <c r="J5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color rgb="FF000000"/>
            <rFont val="Tahoma"/>
            <family val="2"/>
          </rPr>
          <t>Inserir Derrama Municipal em vigor.</t>
        </r>
      </text>
    </comment>
    <comment ref="C20" authorId="1" shapeId="0" xr:uid="{00000000-0006-0000-0200-000006000000}">
      <text>
        <r>
          <rPr>
            <sz val="9"/>
            <color rgb="FF000000"/>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rgb="FF000000"/>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0" authorId="1" shapeId="0" xr:uid="{B4C2CF1C-C5A5-4B4C-A869-90AAFADB8BE8}">
      <text>
        <r>
          <rPr>
            <sz val="9"/>
            <rFont val="Tahoma"/>
            <family val="2"/>
          </rPr>
          <t>Inserir Taxa IVA Aplicável</t>
        </r>
      </text>
    </comment>
    <comment ref="E60" authorId="1" shapeId="0" xr:uid="{E55517EE-F906-C94B-8913-6193E1EE9EA2}">
      <text>
        <r>
          <rPr>
            <b/>
            <sz val="9"/>
            <rFont val="Tahoma"/>
            <family val="2"/>
          </rPr>
          <t>Inserir o valor de Exportação em %</t>
        </r>
      </text>
    </comment>
    <comment ref="C61" authorId="1" shapeId="0" xr:uid="{571CBF2B-D966-854D-A934-82CE3A5204BC}">
      <text>
        <r>
          <rPr>
            <sz val="9"/>
            <rFont val="Tahoma"/>
            <family val="2"/>
          </rPr>
          <t>Inserir a quantidades expectável de venda apenas no primeiro ano de atividade.</t>
        </r>
      </text>
    </comment>
    <comment ref="G61" authorId="1" shapeId="0" xr:uid="{F615728A-4971-4544-A3FC-A400AA88034A}">
      <text>
        <r>
          <rPr>
            <b/>
            <sz val="9"/>
            <rFont val="Tahoma"/>
            <family val="2"/>
          </rPr>
          <t>Se no ano de início de investimento, o nº de meses de exploração for igual a 0, colocar 0 na quantidade vendida.
No ano em que se inicie a atividade, inserir a quantidade prevista.</t>
        </r>
      </text>
    </comment>
    <comment ref="C62" authorId="1" shapeId="0" xr:uid="{49D388CA-BD39-7346-AB93-C6ABB592D0F3}">
      <text>
        <r>
          <rPr>
            <sz val="9"/>
            <rFont val="Tahoma"/>
            <family val="2"/>
          </rPr>
          <t>Inserir o Preço de Venda aplicável (S/IVA) no primeiro ano.
O PVP varia mediante a taxa de inflação indicada.</t>
        </r>
      </text>
    </comment>
    <comment ref="C63" authorId="1" shapeId="0" xr:uid="{385CB550-E5CD-4741-8D64-7B8CE2F83D14}">
      <text>
        <r>
          <rPr>
            <sz val="9"/>
            <rFont val="Tahoma"/>
            <family val="2"/>
          </rPr>
          <t>Indicar a taxa de crescimento de vendas, em cada um dos anos, para que a Quantidade vendida, possa automaticamente atualizar nos restantes anos</t>
        </r>
      </text>
    </comment>
    <comment ref="D66" authorId="1" shapeId="0" xr:uid="{00000000-0006-0000-0200-000015000000}">
      <text>
        <r>
          <rPr>
            <sz val="9"/>
            <rFont val="Tahoma"/>
            <family val="2"/>
          </rPr>
          <t>Inserir Taxa IVA Aplicável</t>
        </r>
      </text>
    </comment>
    <comment ref="E66" authorId="1" shapeId="0" xr:uid="{00000000-0006-0000-0200-000016000000}">
      <text>
        <r>
          <rPr>
            <b/>
            <sz val="9"/>
            <color rgb="FF000000"/>
            <rFont val="Tahoma"/>
            <family val="2"/>
          </rPr>
          <t>Inserir o valor de Exportação em %</t>
        </r>
      </text>
    </comment>
    <comment ref="C67" authorId="1" shapeId="0" xr:uid="{00000000-0006-0000-0200-000017000000}">
      <text>
        <r>
          <rPr>
            <sz val="9"/>
            <rFont val="Tahoma"/>
            <family val="2"/>
          </rPr>
          <t>Inserir a quantidades expectável de venda apenas no primeiro ano de atividade.</t>
        </r>
      </text>
    </comment>
    <comment ref="G67"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8" authorId="1" shapeId="0" xr:uid="{00000000-0006-0000-0200-000019000000}">
      <text>
        <r>
          <rPr>
            <sz val="9"/>
            <color rgb="FF000000"/>
            <rFont val="Tahoma"/>
            <family val="2"/>
          </rPr>
          <t xml:space="preserve">Inserir o Preço de Venda aplicável (S/IVA) no primeiro ano.
</t>
        </r>
        <r>
          <rPr>
            <sz val="9"/>
            <color rgb="FF000000"/>
            <rFont val="Tahoma"/>
            <family val="2"/>
          </rPr>
          <t>O PVP varia mediante a taxa de inflação indicada.</t>
        </r>
      </text>
    </comment>
    <comment ref="C69" authorId="1" shapeId="0" xr:uid="{00000000-0006-0000-0200-00001A000000}">
      <text>
        <r>
          <rPr>
            <sz val="9"/>
            <rFont val="Tahoma"/>
            <family val="2"/>
          </rPr>
          <t>Indicar a taxa de crescimento de vendas, em cada um dos anos, para que a Quantidade vendida, possa automaticamente atualizar nos restantes anos</t>
        </r>
      </text>
    </comment>
    <comment ref="D72" authorId="1" shapeId="0" xr:uid="{00000000-0006-0000-0200-00001B000000}">
      <text>
        <r>
          <rPr>
            <sz val="9"/>
            <rFont val="Tahoma"/>
            <family val="2"/>
          </rPr>
          <t>Inserir Taxa IVA Aplicável</t>
        </r>
      </text>
    </comment>
    <comment ref="E72" authorId="1" shapeId="0" xr:uid="{00000000-0006-0000-0200-00001C000000}">
      <text>
        <r>
          <rPr>
            <b/>
            <sz val="9"/>
            <rFont val="Tahoma"/>
            <family val="2"/>
          </rPr>
          <t>Inserir o valor de Exportação em %</t>
        </r>
      </text>
    </comment>
    <comment ref="C73" authorId="1" shapeId="0" xr:uid="{00000000-0006-0000-0200-00001D000000}">
      <text>
        <r>
          <rPr>
            <sz val="9"/>
            <rFont val="Tahoma"/>
            <family val="2"/>
          </rPr>
          <t>Inserir a quantidades expectável de venda apenas no primeiro ano de atividade.</t>
        </r>
      </text>
    </comment>
    <comment ref="G73"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74" authorId="1" shapeId="0" xr:uid="{00000000-0006-0000-0200-00001F000000}">
      <text>
        <r>
          <rPr>
            <sz val="9"/>
            <rFont val="Tahoma"/>
            <family val="2"/>
          </rPr>
          <t>Inserir o Preço de Venda aplicável (S/IVA) no primeiro ano.
O PVP varia mediante a taxa de inflação indicada.</t>
        </r>
      </text>
    </comment>
    <comment ref="C75"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8"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9" authorId="1" shapeId="0" xr:uid="{00000000-0006-0000-0200-000022000000}">
      <text>
        <r>
          <rPr>
            <sz val="9"/>
            <rFont val="Tahoma"/>
            <family val="2"/>
          </rPr>
          <t>Inserir Taxa IVA Aplicável</t>
        </r>
      </text>
    </comment>
    <comment ref="D96"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7" authorId="1" shapeId="0" xr:uid="{00000000-0006-0000-0200-000024000000}">
      <text>
        <r>
          <rPr>
            <sz val="9"/>
            <rFont val="Tahoma"/>
            <family val="2"/>
          </rPr>
          <t>Inserir Taxa IVA Aplicável</t>
        </r>
      </text>
    </comment>
    <comment ref="D101"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9" authorId="1" shapeId="0" xr:uid="{00000000-0006-0000-0200-000026000000}">
      <text>
        <r>
          <rPr>
            <sz val="9"/>
            <rFont val="Calibri Light"/>
            <family val="2"/>
            <scheme val="major"/>
          </rPr>
          <t>Preenchimento automático Coluna E:N</t>
        </r>
      </text>
    </comment>
    <comment ref="D111" authorId="1" shapeId="0" xr:uid="{00000000-0006-0000-0200-000027000000}">
      <text>
        <r>
          <rPr>
            <sz val="9"/>
            <rFont val="Tahoma"/>
            <family val="2"/>
          </rPr>
          <t>Inserir Taxa IVA Aplicável</t>
        </r>
      </text>
    </comment>
    <comment ref="F111" authorId="1" shapeId="0" xr:uid="{00000000-0006-0000-0200-000028000000}">
      <text>
        <r>
          <rPr>
            <sz val="9"/>
            <rFont val="Tahoma"/>
            <family val="2"/>
          </rPr>
          <t>Inserir Valor Mensal na Coluna F.</t>
        </r>
      </text>
    </comment>
    <comment ref="D113" authorId="1" shapeId="0" xr:uid="{00000000-0006-0000-0200-000029000000}">
      <text>
        <r>
          <rPr>
            <sz val="9"/>
            <rFont val="Tahoma"/>
            <family val="2"/>
          </rPr>
          <t>Inserir Taxa IVA Aplicável</t>
        </r>
      </text>
    </comment>
    <comment ref="F113" authorId="1" shapeId="0" xr:uid="{00000000-0006-0000-0200-00002A000000}">
      <text>
        <r>
          <rPr>
            <sz val="9"/>
            <rFont val="Tahoma"/>
            <family val="2"/>
          </rPr>
          <t>Inserir Valor Mensal na Coluna F.</t>
        </r>
      </text>
    </comment>
    <comment ref="D114" authorId="1" shapeId="0" xr:uid="{00000000-0006-0000-0200-00002B000000}">
      <text>
        <r>
          <rPr>
            <sz val="9"/>
            <rFont val="Tahoma"/>
            <family val="2"/>
          </rPr>
          <t>Inserir Taxa IVA Aplicável</t>
        </r>
      </text>
    </comment>
    <comment ref="F114" authorId="1" shapeId="0" xr:uid="{00000000-0006-0000-0200-00002C000000}">
      <text>
        <r>
          <rPr>
            <sz val="9"/>
            <rFont val="Tahoma"/>
            <family val="2"/>
          </rPr>
          <t>Inserir Valor Mensal na Coluna F.</t>
        </r>
      </text>
    </comment>
    <comment ref="D115" authorId="1" shapeId="0" xr:uid="{00000000-0006-0000-0200-00002D000000}">
      <text>
        <r>
          <rPr>
            <sz val="9"/>
            <rFont val="Tahoma"/>
            <family val="2"/>
          </rPr>
          <t>Inserir Taxa IVA Aplicável</t>
        </r>
      </text>
    </comment>
    <comment ref="F115" authorId="1" shapeId="0" xr:uid="{00000000-0006-0000-0200-00002E000000}">
      <text>
        <r>
          <rPr>
            <sz val="9"/>
            <rFont val="Tahoma"/>
            <family val="2"/>
          </rPr>
          <t>Inserir Valor Mensal na Coluna F.</t>
        </r>
      </text>
    </comment>
    <comment ref="D116" authorId="1" shapeId="0" xr:uid="{00000000-0006-0000-0200-00002F000000}">
      <text>
        <r>
          <rPr>
            <sz val="9"/>
            <rFont val="Tahoma"/>
            <family val="2"/>
          </rPr>
          <t>Inserir Taxa IVA Aplicável</t>
        </r>
      </text>
    </comment>
    <comment ref="F116" authorId="1" shapeId="0" xr:uid="{00000000-0006-0000-0200-000030000000}">
      <text>
        <r>
          <rPr>
            <sz val="9"/>
            <rFont val="Tahoma"/>
            <family val="2"/>
          </rPr>
          <t>Inserir Valor Mensal na Coluna F.</t>
        </r>
      </text>
    </comment>
    <comment ref="D117" authorId="1" shapeId="0" xr:uid="{00000000-0006-0000-0200-000031000000}">
      <text>
        <r>
          <rPr>
            <sz val="9"/>
            <rFont val="Tahoma"/>
            <family val="2"/>
          </rPr>
          <t>Inserir Taxa IVA Aplicável</t>
        </r>
      </text>
    </comment>
    <comment ref="F117" authorId="1" shapeId="0" xr:uid="{00000000-0006-0000-0200-000032000000}">
      <text>
        <r>
          <rPr>
            <sz val="9"/>
            <rFont val="Tahoma"/>
            <family val="2"/>
          </rPr>
          <t>Inserir Valor Mensal na Coluna F.</t>
        </r>
      </text>
    </comment>
    <comment ref="D118" authorId="1" shapeId="0" xr:uid="{00000000-0006-0000-0200-000033000000}">
      <text>
        <r>
          <rPr>
            <sz val="9"/>
            <rFont val="Tahoma"/>
            <family val="2"/>
          </rPr>
          <t>Inserir Taxa IVA Aplicável</t>
        </r>
      </text>
    </comment>
    <comment ref="F118" authorId="1" shapeId="0" xr:uid="{00000000-0006-0000-0200-000034000000}">
      <text>
        <r>
          <rPr>
            <sz val="9"/>
            <rFont val="Tahoma"/>
            <family val="2"/>
          </rPr>
          <t>Inserir Valor Mensal na Coluna F.</t>
        </r>
      </text>
    </comment>
    <comment ref="D120" authorId="1" shapeId="0" xr:uid="{00000000-0006-0000-0200-000035000000}">
      <text>
        <r>
          <rPr>
            <sz val="9"/>
            <rFont val="Tahoma"/>
            <family val="2"/>
          </rPr>
          <t>Inserir Taxa IVA Aplicável</t>
        </r>
      </text>
    </comment>
    <comment ref="F120" authorId="1" shapeId="0" xr:uid="{00000000-0006-0000-0200-000036000000}">
      <text>
        <r>
          <rPr>
            <sz val="9"/>
            <rFont val="Tahoma"/>
            <family val="2"/>
          </rPr>
          <t>Inserir Valor Mensal na Coluna F.</t>
        </r>
      </text>
    </comment>
    <comment ref="D121" authorId="1" shapeId="0" xr:uid="{00000000-0006-0000-0200-000037000000}">
      <text>
        <r>
          <rPr>
            <sz val="9"/>
            <rFont val="Tahoma"/>
            <family val="2"/>
          </rPr>
          <t>Inserir Taxa IVA Aplicável</t>
        </r>
      </text>
    </comment>
    <comment ref="F121" authorId="1" shapeId="0" xr:uid="{00000000-0006-0000-0200-000038000000}">
      <text>
        <r>
          <rPr>
            <sz val="9"/>
            <rFont val="Tahoma"/>
            <family val="2"/>
          </rPr>
          <t>Inserir Valor Mensal na Coluna F.</t>
        </r>
      </text>
    </comment>
    <comment ref="D122" authorId="1" shapeId="0" xr:uid="{00000000-0006-0000-0200-000039000000}">
      <text>
        <r>
          <rPr>
            <sz val="9"/>
            <rFont val="Tahoma"/>
            <family val="2"/>
          </rPr>
          <t>Inserir Taxa IVA Aplicável</t>
        </r>
      </text>
    </comment>
    <comment ref="F122" authorId="1" shapeId="0" xr:uid="{00000000-0006-0000-0200-00003A000000}">
      <text>
        <r>
          <rPr>
            <sz val="9"/>
            <rFont val="Tahoma"/>
            <family val="2"/>
          </rPr>
          <t>Inserir Valor Mensal na Coluna F.</t>
        </r>
      </text>
    </comment>
    <comment ref="D123" authorId="1" shapeId="0" xr:uid="{00000000-0006-0000-0200-00003B000000}">
      <text>
        <r>
          <rPr>
            <sz val="9"/>
            <rFont val="Tahoma"/>
            <family val="2"/>
          </rPr>
          <t>Inserir Taxa IVA Aplicável</t>
        </r>
      </text>
    </comment>
    <comment ref="F123" authorId="1" shapeId="0" xr:uid="{00000000-0006-0000-0200-00003C000000}">
      <text>
        <r>
          <rPr>
            <sz val="9"/>
            <rFont val="Tahoma"/>
            <family val="2"/>
          </rPr>
          <t>Inserir Valor Mensal na Coluna F.</t>
        </r>
      </text>
    </comment>
    <comment ref="D125" authorId="1" shapeId="0" xr:uid="{00000000-0006-0000-0200-00003D000000}">
      <text>
        <r>
          <rPr>
            <sz val="9"/>
            <rFont val="Tahoma"/>
            <family val="2"/>
          </rPr>
          <t>Inserir Taxa IVA Aplicável</t>
        </r>
      </text>
    </comment>
    <comment ref="F125" authorId="1" shapeId="0" xr:uid="{00000000-0006-0000-0200-00003E000000}">
      <text>
        <r>
          <rPr>
            <sz val="9"/>
            <rFont val="Tahoma"/>
            <family val="2"/>
          </rPr>
          <t>Inserir Valor Mensal na Coluna F.</t>
        </r>
      </text>
    </comment>
    <comment ref="D126" authorId="1" shapeId="0" xr:uid="{00000000-0006-0000-0200-00003F000000}">
      <text>
        <r>
          <rPr>
            <sz val="9"/>
            <rFont val="Tahoma"/>
            <family val="2"/>
          </rPr>
          <t>Inserir Taxa IVA Aplicável</t>
        </r>
      </text>
    </comment>
    <comment ref="F126" authorId="1" shapeId="0" xr:uid="{00000000-0006-0000-0200-000040000000}">
      <text>
        <r>
          <rPr>
            <sz val="9"/>
            <rFont val="Tahoma"/>
            <family val="2"/>
          </rPr>
          <t>Inserir Valor Mensal na Coluna F.</t>
        </r>
      </text>
    </comment>
    <comment ref="D127" authorId="1" shapeId="0" xr:uid="{00000000-0006-0000-0200-000041000000}">
      <text>
        <r>
          <rPr>
            <sz val="9"/>
            <rFont val="Tahoma"/>
            <family val="2"/>
          </rPr>
          <t>Inserir Taxa IVA Aplicável</t>
        </r>
      </text>
    </comment>
    <comment ref="F127" authorId="1" shapeId="0" xr:uid="{00000000-0006-0000-0200-000042000000}">
      <text>
        <r>
          <rPr>
            <sz val="9"/>
            <rFont val="Tahoma"/>
            <family val="2"/>
          </rPr>
          <t>Inserir Valor Mensal na Coluna F.</t>
        </r>
      </text>
    </comment>
    <comment ref="D129" authorId="1" shapeId="0" xr:uid="{00000000-0006-0000-0200-000043000000}">
      <text>
        <r>
          <rPr>
            <sz val="9"/>
            <rFont val="Tahoma"/>
            <family val="2"/>
          </rPr>
          <t>Inserir Taxa IVA Aplicável</t>
        </r>
      </text>
    </comment>
    <comment ref="F129" authorId="1" shapeId="0" xr:uid="{00000000-0006-0000-0200-000044000000}">
      <text>
        <r>
          <rPr>
            <sz val="9"/>
            <rFont val="Tahoma"/>
            <family val="2"/>
          </rPr>
          <t>Inserir Valor Mensal na Coluna F.</t>
        </r>
      </text>
    </comment>
    <comment ref="D130" authorId="1" shapeId="0" xr:uid="{00000000-0006-0000-0200-000045000000}">
      <text>
        <r>
          <rPr>
            <sz val="9"/>
            <rFont val="Tahoma"/>
            <family val="2"/>
          </rPr>
          <t>Inserir Taxa IVA Aplicável</t>
        </r>
      </text>
    </comment>
    <comment ref="F130" authorId="1" shapeId="0" xr:uid="{00000000-0006-0000-0200-000046000000}">
      <text>
        <r>
          <rPr>
            <sz val="9"/>
            <rFont val="Tahoma"/>
            <family val="2"/>
          </rPr>
          <t>Inserir Valor Mensal na Coluna F.</t>
        </r>
      </text>
    </comment>
    <comment ref="D131" authorId="1" shapeId="0" xr:uid="{00000000-0006-0000-0200-000047000000}">
      <text>
        <r>
          <rPr>
            <sz val="9"/>
            <rFont val="Tahoma"/>
            <family val="2"/>
          </rPr>
          <t>Inserir Taxa IVA Aplicável</t>
        </r>
      </text>
    </comment>
    <comment ref="F131" authorId="1" shapeId="0" xr:uid="{00000000-0006-0000-0200-000048000000}">
      <text>
        <r>
          <rPr>
            <sz val="9"/>
            <rFont val="Tahoma"/>
            <family val="2"/>
          </rPr>
          <t>Inserir Valor Mensal na Coluna F.</t>
        </r>
      </text>
    </comment>
    <comment ref="D133" authorId="1" shapeId="0" xr:uid="{00000000-0006-0000-0200-000049000000}">
      <text>
        <r>
          <rPr>
            <sz val="9"/>
            <rFont val="Tahoma"/>
            <family val="2"/>
          </rPr>
          <t>Inserir Taxa IVA Aplicável</t>
        </r>
      </text>
    </comment>
    <comment ref="F133" authorId="1" shapeId="0" xr:uid="{00000000-0006-0000-0200-00004A000000}">
      <text>
        <r>
          <rPr>
            <sz val="9"/>
            <rFont val="Tahoma"/>
            <family val="2"/>
          </rPr>
          <t>Inserir Valor Mensal na Coluna F.</t>
        </r>
      </text>
    </comment>
    <comment ref="D134" authorId="1" shapeId="0" xr:uid="{00000000-0006-0000-0200-00004B000000}">
      <text>
        <r>
          <rPr>
            <sz val="9"/>
            <rFont val="Tahoma"/>
            <family val="2"/>
          </rPr>
          <t>Inserir Taxa IVA Aplicável</t>
        </r>
      </text>
    </comment>
    <comment ref="F134" authorId="1" shapeId="0" xr:uid="{00000000-0006-0000-0200-00004C000000}">
      <text>
        <r>
          <rPr>
            <sz val="9"/>
            <rFont val="Tahoma"/>
            <family val="2"/>
          </rPr>
          <t>Inserir Valor Mensal na Coluna F.</t>
        </r>
      </text>
    </comment>
    <comment ref="D135" authorId="1" shapeId="0" xr:uid="{00000000-0006-0000-0200-00004D000000}">
      <text>
        <r>
          <rPr>
            <sz val="9"/>
            <rFont val="Tahoma"/>
            <family val="2"/>
          </rPr>
          <t>Inserir Taxa IVA Aplicável</t>
        </r>
      </text>
    </comment>
    <comment ref="F135" authorId="1" shapeId="0" xr:uid="{00000000-0006-0000-0200-00004E000000}">
      <text>
        <r>
          <rPr>
            <sz val="9"/>
            <rFont val="Tahoma"/>
            <family val="2"/>
          </rPr>
          <t>Inserir Valor Mensal na Coluna F.</t>
        </r>
      </text>
    </comment>
    <comment ref="D136" authorId="1" shapeId="0" xr:uid="{00000000-0006-0000-0200-00004F000000}">
      <text>
        <r>
          <rPr>
            <sz val="9"/>
            <rFont val="Tahoma"/>
            <family val="2"/>
          </rPr>
          <t>Inserir Taxa IVA Aplicável</t>
        </r>
      </text>
    </comment>
    <comment ref="F136" authorId="1" shapeId="0" xr:uid="{00000000-0006-0000-0200-000050000000}">
      <text>
        <r>
          <rPr>
            <sz val="9"/>
            <rFont val="Tahoma"/>
            <family val="2"/>
          </rPr>
          <t>Inserir Valor Mensal na Coluna F.</t>
        </r>
      </text>
    </comment>
    <comment ref="D137" authorId="1" shapeId="0" xr:uid="{00000000-0006-0000-0200-000051000000}">
      <text>
        <r>
          <rPr>
            <sz val="9"/>
            <rFont val="Tahoma"/>
            <family val="2"/>
          </rPr>
          <t>Inserir Taxa IVA Aplicável</t>
        </r>
      </text>
    </comment>
    <comment ref="F137" authorId="1" shapeId="0" xr:uid="{00000000-0006-0000-0200-000052000000}">
      <text>
        <r>
          <rPr>
            <sz val="9"/>
            <rFont val="Tahoma"/>
            <family val="2"/>
          </rPr>
          <t>Inserir Valor Mensal na Coluna F.</t>
        </r>
      </text>
    </comment>
    <comment ref="D138" authorId="1" shapeId="0" xr:uid="{00000000-0006-0000-0200-000053000000}">
      <text>
        <r>
          <rPr>
            <sz val="9"/>
            <rFont val="Tahoma"/>
            <family val="2"/>
          </rPr>
          <t>Inserir Taxa IVA Aplicável</t>
        </r>
      </text>
    </comment>
    <comment ref="F138" authorId="1" shapeId="0" xr:uid="{00000000-0006-0000-0200-000054000000}">
      <text>
        <r>
          <rPr>
            <sz val="9"/>
            <rFont val="Tahoma"/>
            <family val="2"/>
          </rPr>
          <t>Inserir Valor Mensal na Coluna F.</t>
        </r>
      </text>
    </comment>
    <comment ref="D139" authorId="1" shapeId="0" xr:uid="{00000000-0006-0000-0200-000055000000}">
      <text>
        <r>
          <rPr>
            <sz val="9"/>
            <rFont val="Tahoma"/>
            <family val="2"/>
          </rPr>
          <t>Inserir Taxa IVA Aplicável</t>
        </r>
      </text>
    </comment>
    <comment ref="F139" authorId="1" shapeId="0" xr:uid="{00000000-0006-0000-0200-000056000000}">
      <text>
        <r>
          <rPr>
            <sz val="9"/>
            <rFont val="Tahoma"/>
            <family val="2"/>
          </rPr>
          <t>Inserir Valor Mensal na Coluna F.</t>
        </r>
      </text>
    </comment>
    <comment ref="D141" authorId="1" shapeId="0" xr:uid="{00000000-0006-0000-0200-000057000000}">
      <text>
        <r>
          <rPr>
            <sz val="9"/>
            <rFont val="Tahoma"/>
            <family val="2"/>
          </rPr>
          <t>Inserir Taxa IVA Aplicável</t>
        </r>
      </text>
    </comment>
    <comment ref="F141" authorId="1" shapeId="0" xr:uid="{00000000-0006-0000-0200-000058000000}">
      <text>
        <r>
          <rPr>
            <sz val="9"/>
            <rFont val="Tahoma"/>
            <family val="2"/>
          </rPr>
          <t>Inserir Valor Mensal na Coluna F.</t>
        </r>
      </text>
    </comment>
    <comment ref="C148" authorId="1" shapeId="0" xr:uid="{00000000-0006-0000-0200-000059000000}">
      <text>
        <r>
          <rPr>
            <sz val="9"/>
            <rFont val="Tahoma"/>
            <family val="2"/>
          </rPr>
          <t>Inserir na Coluna G:P
 o número de trabalhadores por Categoria.
Indicar a Categoria em C.</t>
        </r>
      </text>
    </comment>
    <comment ref="C149" authorId="1" shapeId="0" xr:uid="{00000000-0006-0000-0200-00005A000000}">
      <text>
        <r>
          <rPr>
            <sz val="9"/>
            <rFont val="Tahoma"/>
            <family val="2"/>
          </rPr>
          <t>Inserir na Coluna G:P
 o número de trabalhadores por Categoria.
Indicar a Categoria em C.</t>
        </r>
      </text>
    </comment>
    <comment ref="C150" authorId="1" shapeId="0" xr:uid="{00000000-0006-0000-0200-00005B000000}">
      <text>
        <r>
          <rPr>
            <sz val="9"/>
            <rFont val="Tahoma"/>
            <family val="2"/>
          </rPr>
          <t>Inserir na Coluna G:P
 o número de trabalhadores por Categoria.
Indicar a Categoria em C.</t>
        </r>
      </text>
    </comment>
    <comment ref="C151" authorId="1" shapeId="0" xr:uid="{00000000-0006-0000-0200-00005C000000}">
      <text>
        <r>
          <rPr>
            <sz val="9"/>
            <rFont val="Tahoma"/>
            <family val="2"/>
          </rPr>
          <t>Inserir na Coluna G:P
 o número de trabalhadores por Categoria.
Indicar a Categoria em C.</t>
        </r>
      </text>
    </comment>
    <comment ref="C152" authorId="1" shapeId="0" xr:uid="{00000000-0006-0000-0200-00005D000000}">
      <text>
        <r>
          <rPr>
            <sz val="9"/>
            <rFont val="Tahoma"/>
            <family val="2"/>
          </rPr>
          <t>Inserir na Coluna G:P
 o número de trabalhadores por Categoria.
Indicar a Categoria em C.</t>
        </r>
      </text>
    </comment>
    <comment ref="E155"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5" authorId="1" shapeId="0" xr:uid="{00000000-0006-0000-0200-00005F000000}">
      <text>
        <r>
          <rPr>
            <sz val="9"/>
            <rFont val="Tahoma"/>
            <family val="2"/>
          </rPr>
          <t>Inserir em F, o valor da Remuneração Base Mensal por Categoria.</t>
        </r>
      </text>
    </comment>
    <comment ref="E156"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6" authorId="1" shapeId="0" xr:uid="{00000000-0006-0000-0200-000061000000}">
      <text>
        <r>
          <rPr>
            <sz val="9"/>
            <rFont val="Tahoma"/>
            <family val="2"/>
          </rPr>
          <t>Inserir em F, o valor da Remuneração Base Mensal por Categoria.</t>
        </r>
      </text>
    </comment>
    <comment ref="E157"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7" authorId="1" shapeId="0" xr:uid="{00000000-0006-0000-0200-000063000000}">
      <text>
        <r>
          <rPr>
            <sz val="9"/>
            <rFont val="Tahoma"/>
            <family val="2"/>
          </rPr>
          <t>Inserir em F, o valor da Remuneração Base Mensal por Categoria.</t>
        </r>
      </text>
    </comment>
    <comment ref="E158"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8" authorId="1" shapeId="0" xr:uid="{00000000-0006-0000-0200-000065000000}">
      <text>
        <r>
          <rPr>
            <sz val="9"/>
            <rFont val="Tahoma"/>
            <family val="2"/>
          </rPr>
          <t>Inserir em F, o valor da Remuneração Base Mensal por Categoria.</t>
        </r>
      </text>
    </comment>
    <comment ref="E159"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9" authorId="1" shapeId="0" xr:uid="{00000000-0006-0000-0200-000067000000}">
      <text>
        <r>
          <rPr>
            <sz val="9"/>
            <rFont val="Tahoma"/>
            <family val="2"/>
          </rPr>
          <t>Inserir em F, o valor da Remuneração Base Mensal por Categoria.</t>
        </r>
      </text>
    </comment>
    <comment ref="E162"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5"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6"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8"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9"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72"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82"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84"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6" authorId="1" shapeId="0" xr:uid="{00000000-0006-0000-0200-000072000000}">
      <text>
        <r>
          <rPr>
            <sz val="9"/>
            <rFont val="Tahoma"/>
            <family val="2"/>
          </rPr>
          <t>Inserir Taxa IVA Aplicável</t>
        </r>
      </text>
    </comment>
    <comment ref="D187" authorId="1" shapeId="0" xr:uid="{00000000-0006-0000-0200-000073000000}">
      <text>
        <r>
          <rPr>
            <sz val="9"/>
            <rFont val="Tahoma"/>
            <family val="2"/>
          </rPr>
          <t>Inserir Taxa IVA Aplicável</t>
        </r>
      </text>
    </comment>
    <comment ref="D188" authorId="1" shapeId="0" xr:uid="{00000000-0006-0000-0200-000074000000}">
      <text>
        <r>
          <rPr>
            <sz val="9"/>
            <rFont val="Tahoma"/>
            <family val="2"/>
          </rPr>
          <t>Inserir Taxa IVA Aplicável</t>
        </r>
      </text>
    </comment>
    <comment ref="D189" authorId="1" shapeId="0" xr:uid="{00000000-0006-0000-0200-000075000000}">
      <text>
        <r>
          <rPr>
            <sz val="9"/>
            <rFont val="Tahoma"/>
            <family val="2"/>
          </rPr>
          <t>Inserir Taxa IVA Aplicável</t>
        </r>
      </text>
    </comment>
    <comment ref="C193" authorId="1" shapeId="0" xr:uid="{00000000-0006-0000-0200-000076000000}">
      <text>
        <r>
          <rPr>
            <sz val="9"/>
            <color indexed="81"/>
            <rFont val="Calibri Light"/>
            <family val="2"/>
            <scheme val="major"/>
          </rPr>
          <t>Inserir valor dos Subsídios à Exploração nas colunas G:P.</t>
        </r>
      </text>
    </comment>
    <comment ref="G193" authorId="1" shapeId="0" xr:uid="{00000000-0006-0000-0200-000077000000}">
      <text>
        <r>
          <rPr>
            <b/>
            <sz val="9"/>
            <rFont val="Tahoma"/>
            <family val="2"/>
          </rPr>
          <t>Se no ano de início de investimento, o nº de meses de exploração for igual a 0, colocar 0.</t>
        </r>
      </text>
    </comment>
    <comment ref="C194" authorId="1" shapeId="0" xr:uid="{00000000-0006-0000-0200-000078000000}">
      <text>
        <r>
          <rPr>
            <sz val="9"/>
            <color indexed="81"/>
            <rFont val="Calibri Light"/>
            <family val="2"/>
            <scheme val="major"/>
          </rPr>
          <t>Considerar eventuais Imparidades  em % do valor de Inventário, na Coluna F.</t>
        </r>
      </text>
    </comment>
    <comment ref="C195" authorId="1" shapeId="0" xr:uid="{00000000-0006-0000-0200-000079000000}">
      <text>
        <r>
          <rPr>
            <sz val="9"/>
            <color indexed="81"/>
            <rFont val="Calibri Light"/>
            <family val="2"/>
            <scheme val="major"/>
          </rPr>
          <t>Considerar eventuais Imparidades  em % do valor de Dívida de Clientes, na Coluna F.</t>
        </r>
      </text>
    </comment>
    <comment ref="C196"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7"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202" authorId="1" shapeId="0" xr:uid="{00000000-0006-0000-0200-00007C000000}">
      <text>
        <r>
          <rPr>
            <sz val="9"/>
            <rFont val="Tahoma"/>
            <family val="2"/>
          </rPr>
          <t>Indicar na Coluna D o prazos de médio de recebimento de clientes.</t>
        </r>
      </text>
    </comment>
    <comment ref="C203" authorId="1" shapeId="0" xr:uid="{00000000-0006-0000-0200-00007D000000}">
      <text>
        <r>
          <rPr>
            <sz val="9"/>
            <rFont val="Tahoma"/>
            <family val="2"/>
          </rPr>
          <t>Indicar na Coluna D a duração média de inventário.</t>
        </r>
      </text>
    </comment>
    <comment ref="C204" authorId="1" shapeId="0" xr:uid="{00000000-0006-0000-0200-00007E000000}">
      <text>
        <r>
          <rPr>
            <sz val="9"/>
            <rFont val="Tahoma"/>
            <family val="2"/>
          </rPr>
          <t>Indicar na Coluna D a duração média de inventário.</t>
        </r>
      </text>
    </comment>
    <comment ref="C205" authorId="1" shapeId="0" xr:uid="{00000000-0006-0000-0200-00007F000000}">
      <text>
        <r>
          <rPr>
            <sz val="9"/>
            <rFont val="Tahoma"/>
            <family val="2"/>
          </rPr>
          <t>Indicar na Coluna D o prazos de médio de pagamento a fornecedores.</t>
        </r>
      </text>
    </comment>
    <comment ref="C213" authorId="1" shapeId="0" xr:uid="{00000000-0006-0000-0200-000080000000}">
      <text>
        <r>
          <rPr>
            <sz val="9"/>
            <rFont val="Calibri Light"/>
            <family val="2"/>
            <scheme val="major"/>
          </rPr>
          <t>Preenchimento automático E:N</t>
        </r>
      </text>
    </comment>
    <comment ref="C214" authorId="1" shapeId="0" xr:uid="{00000000-0006-0000-0200-000081000000}">
      <text>
        <r>
          <rPr>
            <sz val="9"/>
            <rFont val="Tahoma"/>
            <family val="2"/>
          </rPr>
          <t>Inserir na Coluna G:P o valor do Investimento anual.</t>
        </r>
      </text>
    </comment>
    <comment ref="D214" authorId="1" shapeId="0" xr:uid="{00000000-0006-0000-0200-000082000000}">
      <text>
        <r>
          <rPr>
            <sz val="9"/>
            <rFont val="Tahoma"/>
            <family val="2"/>
          </rPr>
          <t>Inserir Taxa IVA Aplicável</t>
        </r>
      </text>
    </comment>
    <comment ref="C215" authorId="1" shapeId="0" xr:uid="{00000000-0006-0000-0200-000083000000}">
      <text>
        <r>
          <rPr>
            <sz val="9"/>
            <rFont val="Tahoma"/>
            <family val="2"/>
          </rPr>
          <t>Inserir na Coluna G:P o valor do Investimento anual.</t>
        </r>
      </text>
    </comment>
    <comment ref="D215" authorId="1" shapeId="0" xr:uid="{00000000-0006-0000-0200-000084000000}">
      <text>
        <r>
          <rPr>
            <sz val="9"/>
            <rFont val="Tahoma"/>
            <family val="2"/>
          </rPr>
          <t>Inserir Taxa IVA Aplicável</t>
        </r>
      </text>
    </comment>
    <comment ref="C216" authorId="1" shapeId="0" xr:uid="{00000000-0006-0000-0200-000085000000}">
      <text>
        <r>
          <rPr>
            <sz val="9"/>
            <rFont val="Tahoma"/>
            <family val="2"/>
          </rPr>
          <t>Inserir na Coluna G:P o valor do Investimento anual.</t>
        </r>
      </text>
    </comment>
    <comment ref="D216" authorId="1" shapeId="0" xr:uid="{00000000-0006-0000-0200-000086000000}">
      <text>
        <r>
          <rPr>
            <sz val="9"/>
            <rFont val="Tahoma"/>
            <family val="2"/>
          </rPr>
          <t>Inserir Taxa IVA Aplicável</t>
        </r>
      </text>
    </comment>
    <comment ref="C217" authorId="1" shapeId="0" xr:uid="{00000000-0006-0000-0200-000087000000}">
      <text>
        <r>
          <rPr>
            <sz val="9"/>
            <rFont val="Tahoma"/>
            <family val="2"/>
          </rPr>
          <t>Inserir na Coluna G:P o valor do Investimento anual.</t>
        </r>
      </text>
    </comment>
    <comment ref="D217" authorId="1" shapeId="0" xr:uid="{00000000-0006-0000-0200-000088000000}">
      <text>
        <r>
          <rPr>
            <sz val="9"/>
            <rFont val="Tahoma"/>
            <family val="2"/>
          </rPr>
          <t>Inserir Taxa IVA Aplicável</t>
        </r>
      </text>
    </comment>
    <comment ref="C218" authorId="1" shapeId="0" xr:uid="{00000000-0006-0000-0200-000089000000}">
      <text>
        <r>
          <rPr>
            <sz val="9"/>
            <rFont val="Tahoma"/>
            <family val="2"/>
          </rPr>
          <t>Inserir na Coluna G:P o valor do Investimento anual.</t>
        </r>
      </text>
    </comment>
    <comment ref="D218" authorId="1" shapeId="0" xr:uid="{00000000-0006-0000-0200-00008A000000}">
      <text>
        <r>
          <rPr>
            <sz val="9"/>
            <rFont val="Tahoma"/>
            <family val="2"/>
          </rPr>
          <t>Inserir Taxa IVA Aplicável</t>
        </r>
      </text>
    </comment>
    <comment ref="C219" authorId="1" shapeId="0" xr:uid="{00000000-0006-0000-0200-00008B000000}">
      <text>
        <r>
          <rPr>
            <sz val="9"/>
            <rFont val="Tahoma"/>
            <family val="2"/>
          </rPr>
          <t>Inserir na Coluna G:P o valor do Investimento anual.</t>
        </r>
      </text>
    </comment>
    <comment ref="D219" authorId="1" shapeId="0" xr:uid="{00000000-0006-0000-0200-00008C000000}">
      <text>
        <r>
          <rPr>
            <sz val="9"/>
            <rFont val="Tahoma"/>
            <family val="2"/>
          </rPr>
          <t>Inserir Taxa IVA Aplicável</t>
        </r>
      </text>
    </comment>
    <comment ref="C220" authorId="1" shapeId="0" xr:uid="{00000000-0006-0000-0200-00008D000000}">
      <text>
        <r>
          <rPr>
            <sz val="9"/>
            <rFont val="Tahoma"/>
            <family val="2"/>
          </rPr>
          <t>Inserir na Coluna G:P o valor do Investimento anual.</t>
        </r>
      </text>
    </comment>
    <comment ref="D220" authorId="1" shapeId="0" xr:uid="{00000000-0006-0000-0200-00008E000000}">
      <text>
        <r>
          <rPr>
            <sz val="9"/>
            <rFont val="Tahoma"/>
            <family val="2"/>
          </rPr>
          <t>Inserir Taxa IVA Aplicável</t>
        </r>
      </text>
    </comment>
    <comment ref="C222" authorId="1" shapeId="0" xr:uid="{00000000-0006-0000-0200-00008F000000}">
      <text>
        <r>
          <rPr>
            <sz val="9"/>
            <rFont val="Tahoma"/>
            <family val="2"/>
          </rPr>
          <t>Inserir na Coluna G:P o valor do Investimento anual.</t>
        </r>
      </text>
    </comment>
    <comment ref="D222" authorId="1" shapeId="0" xr:uid="{00000000-0006-0000-0200-000090000000}">
      <text>
        <r>
          <rPr>
            <sz val="9"/>
            <rFont val="Tahoma"/>
            <family val="2"/>
          </rPr>
          <t>Inserir Taxa IVA Aplicável</t>
        </r>
      </text>
    </comment>
    <comment ref="C223" authorId="1" shapeId="0" xr:uid="{00000000-0006-0000-0200-000091000000}">
      <text>
        <r>
          <rPr>
            <sz val="9"/>
            <rFont val="Tahoma"/>
            <family val="2"/>
          </rPr>
          <t>Inserir na Coluna G:P o valor do Investimento anual.</t>
        </r>
      </text>
    </comment>
    <comment ref="D223" authorId="1" shapeId="0" xr:uid="{00000000-0006-0000-0200-000092000000}">
      <text>
        <r>
          <rPr>
            <sz val="9"/>
            <rFont val="Tahoma"/>
            <family val="2"/>
          </rPr>
          <t>Inserir Taxa IVA Aplicável</t>
        </r>
      </text>
    </comment>
    <comment ref="C224" authorId="1" shapeId="0" xr:uid="{00000000-0006-0000-0200-000093000000}">
      <text>
        <r>
          <rPr>
            <sz val="9"/>
            <rFont val="Tahoma"/>
            <family val="2"/>
          </rPr>
          <t>Inserir na Coluna G:P o valor do Investimento anual.</t>
        </r>
      </text>
    </comment>
    <comment ref="D224" authorId="1" shapeId="0" xr:uid="{00000000-0006-0000-0200-000094000000}">
      <text>
        <r>
          <rPr>
            <sz val="9"/>
            <rFont val="Tahoma"/>
            <family val="2"/>
          </rPr>
          <t>Inserir Taxa IVA Aplicável</t>
        </r>
      </text>
    </comment>
    <comment ref="C225" authorId="1" shapeId="0" xr:uid="{00000000-0006-0000-0200-000095000000}">
      <text>
        <r>
          <rPr>
            <sz val="9"/>
            <rFont val="Tahoma"/>
            <family val="2"/>
          </rPr>
          <t>Inserir na Coluna G:P o valor do Investimento anual.</t>
        </r>
      </text>
    </comment>
    <comment ref="D225" authorId="1" shapeId="0" xr:uid="{00000000-0006-0000-0200-000096000000}">
      <text>
        <r>
          <rPr>
            <sz val="9"/>
            <rFont val="Tahoma"/>
            <family val="2"/>
          </rPr>
          <t>Inserir Taxa IVA Aplicável</t>
        </r>
      </text>
    </comment>
    <comment ref="C235"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6" authorId="2" shapeId="0" xr:uid="{00000000-0006-0000-0200-000098000000}">
      <text>
        <r>
          <rPr>
            <sz val="9"/>
            <color indexed="81"/>
            <rFont val="Tahoma"/>
            <family val="2"/>
          </rPr>
          <t>Consideram-se neste âmbito os excedentes de tesouraria</t>
        </r>
      </text>
    </comment>
    <comment ref="C237" authorId="2" shapeId="0" xr:uid="{00000000-0006-0000-0200-000099000000}">
      <text>
        <r>
          <rPr>
            <sz val="8"/>
            <color indexed="81"/>
            <rFont val="Tahoma"/>
            <family val="2"/>
          </rPr>
          <t>Valor de remunerações de excedentes de tesouraria à taxa aplicável. Cálculo automático</t>
        </r>
      </text>
    </comment>
    <comment ref="C239"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40" authorId="1" shapeId="0" xr:uid="{00000000-0006-0000-0200-00009B000000}">
      <text>
        <r>
          <rPr>
            <sz val="9"/>
            <color indexed="81"/>
            <rFont val="Calibri"/>
            <family val="2"/>
            <scheme val="minor"/>
          </rPr>
          <t>Valor mínimo a contratar se Tesouraria for inferior ao valor mínimo de segurança.</t>
        </r>
      </text>
    </comment>
    <comment ref="C241"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6"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7" authorId="1" shapeId="0" xr:uid="{00000000-0006-0000-0200-00009E000000}">
      <text>
        <r>
          <rPr>
            <sz val="9"/>
            <color indexed="81"/>
            <rFont val="Calibri"/>
            <family val="2"/>
            <scheme val="minor"/>
          </rPr>
          <t xml:space="preserve">Cálculo automático: Valor % = 1-Cap Próprio em %
</t>
        </r>
      </text>
    </comment>
    <comment ref="C249" authorId="0" shapeId="0" xr:uid="{00000000-0006-0000-0200-00009F000000}">
      <text>
        <r>
          <rPr>
            <sz val="9"/>
            <color indexed="81"/>
            <rFont val="Tahoma"/>
            <family val="2"/>
          </rPr>
          <t>Valores de referência relevantes nos 4 anos iniciais de Investimento, mas calculado para todos os anos</t>
        </r>
      </text>
    </comment>
    <comment ref="C254" authorId="2" shapeId="0" xr:uid="{00000000-0006-0000-0200-0000A0000000}">
      <text>
        <r>
          <rPr>
            <sz val="8"/>
            <color rgb="FF000000"/>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61" authorId="1" shapeId="0" xr:uid="{00000000-0006-0000-0200-0000A1000000}">
      <text>
        <r>
          <rPr>
            <sz val="9"/>
            <color indexed="81"/>
            <rFont val="Calibri"/>
            <family val="2"/>
            <scheme val="minor"/>
          </rPr>
          <t>Inserir o Capital Social em G:P.</t>
        </r>
      </text>
    </comment>
    <comment ref="C263" authorId="1" shapeId="0" xr:uid="{00000000-0006-0000-0200-0000A2000000}">
      <text>
        <r>
          <rPr>
            <sz val="9"/>
            <color indexed="81"/>
            <rFont val="Calibri"/>
            <family val="2"/>
            <scheme val="minor"/>
          </rPr>
          <t>Preenchimento automático E:N</t>
        </r>
      </text>
    </comment>
    <comment ref="C264" authorId="1" shapeId="0" xr:uid="{00000000-0006-0000-0200-0000A3000000}">
      <text>
        <r>
          <rPr>
            <sz val="9"/>
            <rFont val="Tahoma"/>
            <family val="2"/>
          </rPr>
          <t>Preencher em Caso de Capital Próprio (Balanço) &lt; 50% do Capital Social.</t>
        </r>
      </text>
    </comment>
    <comment ref="C269"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70"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71"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8" authorId="2" shapeId="0" xr:uid="{00000000-0006-0000-0200-0000A7000000}">
      <text>
        <r>
          <rPr>
            <sz val="9"/>
            <color indexed="81"/>
            <rFont val="Tahoma"/>
            <family val="2"/>
          </rPr>
          <t>Valor mínimo de capital alheio anual a contratualizar</t>
        </r>
      </text>
    </comment>
    <comment ref="C280"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83" authorId="1" shapeId="0" xr:uid="{00000000-0006-0000-0200-0000A9000000}">
      <text>
        <r>
          <rPr>
            <sz val="9"/>
            <color indexed="81"/>
            <rFont val="Calibri"/>
            <family val="2"/>
            <scheme val="minor"/>
          </rPr>
          <t>Inserir em D o ano de contratação de empréstimo</t>
        </r>
      </text>
    </comment>
    <comment ref="C284" authorId="1" shapeId="0" xr:uid="{00000000-0006-0000-0200-0000AA000000}">
      <text>
        <r>
          <rPr>
            <sz val="9"/>
            <color indexed="81"/>
            <rFont val="Calibri"/>
            <family val="2"/>
            <scheme val="minor"/>
          </rPr>
          <t>Inserir em D o total de capital contratualizado</t>
        </r>
      </text>
    </comment>
    <comment ref="C285" authorId="1" shapeId="0" xr:uid="{00000000-0006-0000-0200-0000AB000000}">
      <text>
        <r>
          <rPr>
            <sz val="9"/>
            <color indexed="81"/>
            <rFont val="Calibri"/>
            <family val="2"/>
            <scheme val="minor"/>
          </rPr>
          <t>Inserir em D o período de reembolso</t>
        </r>
      </text>
    </comment>
    <comment ref="C286" authorId="1" shapeId="0" xr:uid="{00000000-0006-0000-0200-0000AC000000}">
      <text>
        <r>
          <rPr>
            <sz val="9"/>
            <color indexed="81"/>
            <rFont val="Calibri"/>
            <family val="2"/>
            <scheme val="minor"/>
          </rPr>
          <t>Inserir em D o período de carência do empréstimo</t>
        </r>
      </text>
    </comment>
    <comment ref="C287"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9"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90"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91"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92"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93"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9" authorId="1" shapeId="0" xr:uid="{00000000-0006-0000-0200-0000B3000000}">
      <text>
        <r>
          <rPr>
            <sz val="9"/>
            <color indexed="81"/>
            <rFont val="Calibri"/>
            <family val="2"/>
            <scheme val="minor"/>
          </rPr>
          <t>Cálculo automático</t>
        </r>
      </text>
    </comment>
    <comment ref="C300" authorId="1" shapeId="0" xr:uid="{00000000-0006-0000-0200-0000B4000000}">
      <text>
        <r>
          <rPr>
            <sz val="9"/>
            <color indexed="81"/>
            <rFont val="Calibri"/>
            <family val="2"/>
            <scheme val="minor"/>
          </rPr>
          <t>Cálculo automático</t>
        </r>
      </text>
    </comment>
    <comment ref="C305" authorId="1" shapeId="0" xr:uid="{00000000-0006-0000-0200-0000B5000000}">
      <text>
        <r>
          <rPr>
            <sz val="9"/>
            <color indexed="81"/>
            <rFont val="Calibri"/>
            <family val="2"/>
            <scheme val="minor"/>
          </rPr>
          <t>Cálculo automático</t>
        </r>
      </text>
    </comment>
    <comment ref="C311"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<sst xmlns="http://schemas.openxmlformats.org/spreadsheetml/2006/main" count="17708" uniqueCount="789">
  <si>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</si>
  <si>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</si>
  <si>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</si>
  <si>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</si>
  <si>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</si>
  <si>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</si>
  <si>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</si>
  <si>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</si>
  <si>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</si>
  <si>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</si>
  <si>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</si>
  <si>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</si>
  <si>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</si>
  <si>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</si>
  <si>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</si>
  <si>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</si>
  <si>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</si>
  <si>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</si>
  <si>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</si>
  <si>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</si>
  <si>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</si>
  <si>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</si>
  <si>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</si>
  <si>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</si>
  <si>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</si>
  <si>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</si>
  <si>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</si>
  <si>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</si>
  <si>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</si>
  <si>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</si>
  <si>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</si>
  <si>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</si>
  <si>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</si>
  <si>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</si>
  <si>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</si>
  <si>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</si>
  <si>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</si>
  <si>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</si>
  <si>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</si>
  <si>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</si>
  <si>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</si>
  <si>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</si>
  <si>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</si>
  <si>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</si>
  <si>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</si>
  <si>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</si>
  <si>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</si>
  <si>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</si>
  <si>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</si>
  <si>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</si>
  <si>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</si>
  <si>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</si>
  <si>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</si>
  <si>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</si>
  <si>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</si>
  <si>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</si>
  <si>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</si>
  <si>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</si>
  <si>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</si>
  <si>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</si>
  <si>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</si>
  <si>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</si>
  <si>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</si>
  <si>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</si>
  <si>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</si>
  <si>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</si>
  <si>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</si>
  <si>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</si>
  <si>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</si>
  <si>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</si>
  <si>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</si>
  <si>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</si>
  <si>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</si>
  <si>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</si>
  <si>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</si>
  <si>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</si>
  <si>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</si>
  <si>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</si>
  <si>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</si>
  <si>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</si>
  <si>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</si>
  <si>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</si>
  <si>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</si>
  <si>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</si>
  <si>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</si>
  <si>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</si>
  <si>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</si>
  <si>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</si>
  <si>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</si>
  <si>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</si>
  <si>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</si>
  <si>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</si>
  <si>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</si>
  <si>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</si>
  <si>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</si>
  <si>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</si>
  <si>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</si>
  <si>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</si>
  <si>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</si>
  <si>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</si>
  <si>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</si>
  <si>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</si>
  <si>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</si>
  <si>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</si>
  <si>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</si>
  <si>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</si>
  <si>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</si>
  <si>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</si>
  <si>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</si>
  <si>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</si>
  <si>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</si>
  <si>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</si>
  <si>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</si>
  <si>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</si>
  <si>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</si>
  <si>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</si>
  <si>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</si>
  <si>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</si>
  <si>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</si>
  <si>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</si>
  <si>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</si>
  <si>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</si>
  <si>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</si>
  <si>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</si>
  <si>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</si>
  <si>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</si>
  <si>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</si>
  <si>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</si>
  <si>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</si>
  <si>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</si>
  <si>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</si>
  <si>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</si>
  <si>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</si>
  <si>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</si>
  <si>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</si>
  <si>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</si>
  <si>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</si>
  <si>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</si>
  <si>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</si>
  <si>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</si>
  <si>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</si>
  <si>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</si>
  <si>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</si>
  <si>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</si>
  <si>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</si>
  <si>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</si>
  <si>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</si>
  <si>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</si>
  <si>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</si>
  <si>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</si>
  <si>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</si>
  <si>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</si>
  <si>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</si>
  <si>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</si>
  <si>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</si>
  <si>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</si>
  <si>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</si>
  <si>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</si>
  <si>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</si>
  <si>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</si>
  <si>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</si>
  <si>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</si>
  <si>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</si>
  <si>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</si>
  <si>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</si>
  <si>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</si>
  <si>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</si>
  <si>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</si>
  <si>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</si>
  <si>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</si>
  <si>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</si>
  <si>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</si>
  <si>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</si>
  <si>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</si>
  <si>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</si>
  <si>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</si>
  <si>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</si>
  <si>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</si>
  <si>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</si>
  <si>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</si>
  <si>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</si>
  <si>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</si>
  <si>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</si>
  <si>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</si>
  <si>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</si>
  <si>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</si>
  <si>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</si>
  <si>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</si>
  <si>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</si>
  <si>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</si>
  <si>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</si>
  <si>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</si>
  <si>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</si>
  <si>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</si>
  <si>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</si>
  <si>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</si>
  <si>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</si>
  <si>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</si>
  <si>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</si>
  <si>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</si>
  <si>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</si>
  <si>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</si>
  <si>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</si>
  <si>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</si>
  <si>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</si>
  <si>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</si>
  <si>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</si>
  <si>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</si>
  <si>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</si>
  <si>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</si>
  <si>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</si>
  <si>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</si>
  <si>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</si>
  <si>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</si>
  <si>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</si>
  <si>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</si>
  <si>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</si>
  <si>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</si>
  <si>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</si>
  <si>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</si>
  <si>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</si>
  <si>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</si>
  <si>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</si>
  <si>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</si>
  <si>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</si>
  <si>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</si>
  <si>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</si>
  <si>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</si>
  <si>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</si>
  <si>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</si>
  <si>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</si>
  <si>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</si>
  <si>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</si>
  <si>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</si>
  <si>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</si>
  <si>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</si>
  <si>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</si>
  <si>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</si>
  <si>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</si>
  <si>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</si>
  <si>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</si>
  <si>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</si>
  <si>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</si>
  <si>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</si>
  <si>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</si>
  <si>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</si>
  <si>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</si>
  <si>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</si>
  <si>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</si>
  <si>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</si>
  <si>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</si>
  <si>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</si>
  <si>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</si>
  <si>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</si>
  <si>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</si>
  <si>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</si>
  <si>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</si>
  <si>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</si>
  <si>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</si>
  <si>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</si>
  <si>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</si>
  <si>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</si>
  <si>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</si>
  <si>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</si>
  <si>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</si>
  <si>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</si>
  <si>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</si>
  <si>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</si>
  <si>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</si>
  <si>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</si>
  <si>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</si>
  <si>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</si>
  <si>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</si>
  <si>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</si>
  <si>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</si>
  <si>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</si>
  <si>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</si>
  <si>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</si>
  <si>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</si>
  <si>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</si>
  <si>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</si>
  <si>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</si>
  <si>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</si>
  <si>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</si>
  <si>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</si>
  <si>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</si>
  <si>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</si>
  <si>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</si>
  <si>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</si>
  <si>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</si>
  <si>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</si>
  <si>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</si>
  <si>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</si>
  <si>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</si>
  <si>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</si>
  <si>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</si>
  <si>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</si>
  <si>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</si>
  <si>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</si>
  <si>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</si>
  <si>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</si>
  <si>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</si>
  <si>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</si>
  <si>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</si>
  <si>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</si>
  <si>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</si>
  <si>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</si>
  <si>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</si>
  <si>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</si>
  <si>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</si>
  <si>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</si>
  <si>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</si>
  <si>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</si>
  <si>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</si>
  <si>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</si>
  <si>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</si>
  <si>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</si>
  <si>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</si>
  <si>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</si>
  <si>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</si>
  <si>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</si>
  <si>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</si>
  <si>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</si>
  <si>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</si>
  <si>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</si>
  <si>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</si>
  <si>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</si>
  <si>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</si>
  <si>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</si>
  <si>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</si>
  <si>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</si>
  <si>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</si>
  <si>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</si>
  <si>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</si>
  <si>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</si>
  <si>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</si>
  <si>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</si>
  <si>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</si>
  <si>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</si>
  <si>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</si>
  <si>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</si>
  <si>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</si>
  <si>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</si>
  <si>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</si>
  <si>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</si>
  <si>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</si>
  <si>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</si>
  <si>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</si>
  <si>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</si>
  <si>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</si>
  <si>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</si>
  <si>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</si>
  <si>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</si>
  <si>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</si>
  <si>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</si>
  <si>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</si>
  <si>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</si>
  <si>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</si>
  <si>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</si>
  <si>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</si>
  <si>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</si>
  <si>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</si>
  <si>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</si>
  <si>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</si>
  <si>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</si>
  <si>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</si>
  <si>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</si>
  <si>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</si>
  <si>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</si>
  <si>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</si>
  <si>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</si>
  <si>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</si>
  <si>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</si>
  <si>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</si>
  <si>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</si>
  <si>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</si>
  <si>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</si>
  <si>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</si>
  <si>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</si>
  <si>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</si>
  <si>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</si>
  <si>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</si>
  <si>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</si>
  <si>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</si>
  <si>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</si>
  <si>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</si>
  <si>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</si>
  <si>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</si>
  <si>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</si>
  <si>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</si>
  <si>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</si>
  <si>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</si>
  <si>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</si>
  <si>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</si>
  <si>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</si>
  <si>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</si>
  <si>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</si>
  <si>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</si>
  <si>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</si>
  <si>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</si>
  <si>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</si>
  <si>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</si>
  <si>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</si>
  <si>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</si>
  <si>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</si>
  <si>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</si>
  <si>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</si>
  <si>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</si>
  <si>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</si>
  <si>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</si>
  <si>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</si>
  <si>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</si>
  <si>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</si>
  <si>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</si>
  <si>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</si>
  <si>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</si>
  <si>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</si>
  <si>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</si>
  <si>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</si>
  <si>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</si>
  <si>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</si>
  <si>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</si>
  <si>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</si>
  <si>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</si>
  <si>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</si>
  <si>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</si>
  <si>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</si>
  <si>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</si>
  <si>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</si>
  <si>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Factor de atualização - WACC</t>
  </si>
  <si>
    <t>Factor de atualização  - CAPM</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</si>
  <si>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</si>
  <si>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</si>
  <si>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</si>
  <si>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</si>
  <si>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</si>
  <si>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</si>
  <si>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</si>
  <si>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</si>
  <si>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</si>
  <si>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</si>
  <si>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</si>
  <si>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</si>
  <si>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</si>
  <si>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</si>
  <si>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</si>
  <si>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</si>
  <si>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</si>
  <si>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</si>
  <si>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</si>
  <si>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</si>
  <si>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</si>
  <si>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</si>
  <si>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</si>
  <si>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</si>
  <si>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</si>
  <si>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</si>
  <si>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</si>
  <si>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</si>
  <si>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</si>
  <si>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</si>
  <si>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</si>
  <si>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</si>
  <si>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</si>
  <si>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</si>
  <si>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</si>
  <si>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</si>
  <si>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</si>
  <si>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</si>
  <si>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</si>
  <si>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</si>
  <si>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</si>
  <si>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</si>
  <si>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</si>
  <si>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</si>
  <si>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</si>
  <si>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</si>
  <si>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</si>
  <si>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</si>
  <si>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</si>
  <si>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</si>
  <si>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</si>
  <si>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</si>
  <si>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</si>
  <si>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</si>
  <si>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</si>
  <si>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</si>
  <si>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</si>
  <si>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</si>
  <si>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</si>
  <si>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</si>
  <si>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</si>
  <si>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</si>
  <si>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</si>
  <si>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</si>
  <si>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</si>
  <si>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</si>
  <si>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</si>
  <si>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</si>
  <si>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</si>
  <si>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</si>
  <si>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</si>
  <si>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</si>
  <si>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</si>
  <si>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</si>
  <si>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</si>
  <si>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</si>
  <si>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</si>
  <si>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</si>
  <si>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</si>
  <si>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</si>
  <si>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</si>
  <si>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</si>
  <si>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</si>
  <si>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</si>
  <si>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</si>
  <si>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</si>
  <si>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</si>
  <si>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</si>
  <si>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</si>
  <si>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</si>
  <si>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</si>
  <si>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</si>
  <si>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"Colocar descritivo de Atividade"</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</si>
  <si>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</si>
  <si>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</si>
  <si>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</si>
  <si>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</si>
  <si>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</si>
  <si>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</si>
  <si>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</si>
  <si>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</si>
  <si>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</si>
  <si>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</si>
  <si>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</si>
  <si>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</si>
  <si>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</si>
  <si>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</si>
  <si>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</si>
  <si>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</si>
  <si>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</si>
  <si>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</si>
  <si>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</si>
  <si>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O método dos FCFF (Free Cash Flows to the Firm), na ótica do capital (Investimento pós-financiamento)  incorpora os efeitos do capital alheio refletidos na taxa de utilização.
Taxa de atualização  = wacc (custo médio ponderado do capital) = Rcp*CP /(CP+CA)+ Rca*(1-ti)*CA/ (CP+CA).
com Rcp = re = Rf + Bu*(Rm-Rf) e Rca = Taxa de remuneração (juro efetiva) do capital alheio.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</si>
  <si>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</si>
  <si>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</si>
  <si>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</si>
  <si>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</si>
  <si>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</si>
  <si>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</si>
  <si>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</si>
  <si>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</si>
  <si>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</si>
  <si>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</si>
  <si>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</si>
  <si>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</si>
  <si>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</si>
  <si>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</si>
  <si>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</si>
  <si>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</si>
  <si>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</si>
  <si>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</si>
  <si>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</si>
  <si>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</si>
  <si>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</si>
  <si>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</si>
  <si>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</si>
  <si>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</si>
  <si>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</si>
  <si>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</si>
  <si>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</si>
  <si>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</si>
  <si>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</si>
  <si>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</si>
  <si>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</si>
  <si>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</si>
  <si>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</si>
  <si>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</si>
  <si>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</si>
  <si>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</si>
  <si>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</si>
  <si>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</si>
  <si>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</si>
  <si>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</si>
  <si>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</si>
  <si>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</si>
  <si>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</si>
  <si>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</si>
  <si>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</si>
  <si>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</si>
  <si>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</si>
  <si>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</si>
  <si>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</si>
  <si>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</si>
  <si>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</si>
  <si>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</si>
  <si>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</si>
  <si>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</si>
  <si>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</si>
  <si>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</si>
  <si>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</si>
  <si>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</si>
  <si>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</si>
  <si>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</si>
  <si>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</si>
  <si>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</si>
  <si>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</si>
  <si>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</si>
  <si>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</si>
  <si>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</si>
  <si>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</si>
  <si>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</si>
  <si>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</si>
  <si>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</si>
  <si>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</si>
  <si>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</si>
  <si>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</si>
  <si>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</si>
  <si>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</si>
  <si>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</si>
  <si>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</si>
  <si>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</si>
  <si>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</si>
  <si>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</si>
  <si>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</si>
  <si>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</si>
  <si>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</si>
  <si>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</si>
  <si>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</si>
  <si>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</si>
  <si>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</si>
  <si>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</si>
  <si>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</si>
  <si>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</si>
  <si>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</si>
  <si>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</si>
  <si>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</si>
  <si>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</si>
  <si>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</si>
  <si>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</si>
  <si>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</si>
  <si>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</si>
  <si>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</si>
  <si>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</si>
  <si>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</si>
  <si>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</si>
  <si>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</si>
  <si>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</si>
  <si>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</si>
  <si>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</si>
  <si>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</si>
  <si>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</si>
  <si>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</si>
  <si>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</si>
  <si>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</si>
  <si>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</si>
  <si>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</si>
  <si>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</si>
  <si>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</si>
  <si>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</si>
  <si>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</si>
  <si>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</si>
  <si>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</si>
  <si>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</si>
  <si>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</si>
  <si>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</si>
  <si>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</si>
  <si>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</si>
  <si>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</si>
  <si>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</si>
  <si>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</si>
  <si>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</si>
  <si>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9. Anexo_ Prejuízos Fiscais</t>
  </si>
  <si>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</si>
  <si>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</si>
  <si>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</si>
  <si>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</si>
  <si>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</si>
  <si>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</si>
  <si>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</si>
  <si>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&lt;Nome da empresa&gt;</t>
  </si>
  <si>
    <t xml:space="preserve">Nota: Sempre que se desconheça a quantidade colocar nas células E:N, o Valor total de Vendas </t>
  </si>
  <si>
    <t>Nota: Nº de anos - deverá corresponder à média dos anos de depreciação dos investiemntos apoiados.</t>
  </si>
  <si>
    <t>Ferramenta elaborada com apoio de Moneris S.A.</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</si>
  <si>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</si>
  <si>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</si>
  <si>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</si>
  <si>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</si>
  <si>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</si>
  <si>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</si>
  <si>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</si>
  <si>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</si>
  <si>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</si>
  <si>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Em caso de exitir apenas um empréstimo (campos preenchidos anteriormente), deve colocar no "0" no campo "Capital contratualizado" referente ao segundo Financiamento Bancário, e deixar todas as outras células como se econtram.</t>
  </si>
  <si>
    <t>Imposto de Selo aplicável aos juros</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</si>
  <si>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</si>
  <si>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</si>
  <si>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t>Valores relativos à atividade de exploração, impostos, ano inicial de investimento, inflação (taxas de variação de preços) e outros.
Os valores apresentados são meramente indicativos, devendo ser colocados os valores adequados ao projeto e ao momento.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</si>
  <si>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</si>
  <si>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</si>
  <si>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</si>
  <si>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</si>
  <si>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</si>
  <si>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</si>
  <si>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</si>
  <si>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</si>
  <si>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</si>
  <si>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</si>
  <si>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</si>
  <si>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</si>
  <si>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</si>
  <si>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</si>
  <si>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</si>
  <si>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</si>
  <si>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6. Investimento, Depreciações e Amortizações</t>
  </si>
  <si>
    <t>7. Serviço da Dívida</t>
  </si>
  <si>
    <t>A. Guia auxiliar para calcular  Consumo de Matérias Primas em % do valor de Vendas</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</si>
  <si>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</si>
  <si>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Nota: os valores apresentados são meramente exemplificativos devendo ser ajustada à realidade do projeto.</t>
  </si>
  <si>
    <t xml:space="preserve"> Variáveis necessárias</t>
  </si>
  <si>
    <t xml:space="preserve">Produtos </t>
  </si>
  <si>
    <t xml:space="preserve">Mat. Primas e subsidiárias (MPS) </t>
  </si>
  <si>
    <t>X5</t>
  </si>
  <si>
    <t>X6</t>
  </si>
  <si>
    <t>X7</t>
  </si>
  <si>
    <t>Como Calcular o valor do consumo de matérias primas e subsidiárias (mps) em % do valor das vendas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</si>
  <si>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</si>
  <si>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</si>
  <si>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</si>
  <si>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</si>
  <si>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</si>
  <si>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</si>
  <si>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</si>
  <si>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unid físixas</t>
  </si>
  <si>
    <t>unid físicas</t>
  </si>
  <si>
    <r>
      <t xml:space="preserve">                                                                                                     </t>
    </r>
    <r>
      <rPr>
        <b/>
        <sz val="9"/>
        <color rgb="FF0047D6"/>
        <rFont val="Calibri"/>
        <family val="2"/>
        <scheme val="minor"/>
      </rPr>
      <t>Produto</t>
    </r>
    <r>
      <rPr>
        <b/>
        <sz val="9"/>
        <rFont val="Calibri"/>
        <family val="2"/>
        <scheme val="minor"/>
      </rPr>
      <t xml:space="preserve">
MPS</t>
    </r>
  </si>
  <si>
    <t>€€</t>
  </si>
  <si>
    <t>Vendas (Valor €)</t>
  </si>
  <si>
    <t>PMI PA (prazo médio de inventário de produtos ) (dias)</t>
  </si>
  <si>
    <t>Valor MPS na proporção (das vendas e da variação invent de PA)</t>
  </si>
  <si>
    <t>Valor % a Colocar nos Pressupostos (Célula D91 - folha original)</t>
  </si>
  <si>
    <t>A Variação da Produção t = Variação dos Inventários da Produção t = Invent Final t - Invent Inicial t</t>
  </si>
  <si>
    <t>A Variação da Produção na Demonstração de Resultados apenas existe em atividades industriais em que há inventário de produto acabado e produtos e trabalhos em curso(PTC)</t>
  </si>
  <si>
    <t>Como calcular a Variação da Produção?</t>
  </si>
  <si>
    <r>
      <t>i)   Calcular o Custo do Produto (</t>
    </r>
    <r>
      <rPr>
        <u/>
        <sz val="9"/>
        <rFont val="Calibri"/>
        <family val="2"/>
        <scheme val="minor"/>
      </rPr>
      <t>valor dependente do método de custeio</t>
    </r>
    <r>
      <rPr>
        <sz val="9"/>
        <rFont val="Calibri"/>
        <family val="2"/>
        <scheme val="minor"/>
      </rPr>
      <t>)</t>
    </r>
  </si>
  <si>
    <t>ii) Custo da produção = mps (consumo de matérias primas e subsidiárias) + MOD (mão de obra direta)+GGF (gastos gerais de fabrico).</t>
  </si>
  <si>
    <t xml:space="preserve">iii) O CMVMC = custo de mps consumidas na produção (na indústria). CMVMC = custo da mercadoria vendida (no comércio); CMVMC = 0 (nos serviços); </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</si>
  <si>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</si>
  <si>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</si>
  <si>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ILUSTRAÇÃO</t>
  </si>
  <si>
    <t>Indústria</t>
  </si>
  <si>
    <t>CMC (custo de matérias consumidas) em % de Vendas</t>
  </si>
  <si>
    <t>Demonstração de Resultados (atividade industrial)</t>
  </si>
  <si>
    <t>%</t>
  </si>
  <si>
    <t>CMVMC%</t>
  </si>
  <si>
    <t>= Custo mat. Consumidas/Vendas</t>
  </si>
  <si>
    <t>Calcular Custo da Produção em % do valor de vendas</t>
  </si>
  <si>
    <t>Valor calculado em pressupostos</t>
  </si>
  <si>
    <t xml:space="preserve">1. Custo da produção </t>
  </si>
  <si>
    <t xml:space="preserve">    1.1 CMVMC (Custo total de MPS consumidas CMC )</t>
  </si>
  <si>
    <t>Calculado em a. Aux_Mat Primas</t>
  </si>
  <si>
    <t xml:space="preserve">    1.2 MOD (Custos de Mão de Obra Direta)</t>
  </si>
  <si>
    <t>Valor calculao em pressupostos</t>
  </si>
  <si>
    <t>Total (CMP+Gastos pessoal fabril+Gastos Gerais de Fabrico)</t>
  </si>
  <si>
    <t>2.  Custo da produção / Vendas produto  (%)</t>
  </si>
  <si>
    <t>Valor % a Colocar nos Pressupostos (Célula D96 original)</t>
  </si>
  <si>
    <t>DMI Prod acabado e PTC*( dias) (ano = 365)</t>
  </si>
  <si>
    <t>valores para ilustração</t>
  </si>
  <si>
    <t>Nº dias produção (ano)</t>
  </si>
  <si>
    <t xml:space="preserve"> *produto acabado e produtos e trabalho em curso</t>
  </si>
  <si>
    <t xml:space="preserve">EXEMPLO </t>
  </si>
  <si>
    <t>Calcular CMC</t>
  </si>
  <si>
    <t xml:space="preserve">Custo da mão de obra direta (fabril). </t>
  </si>
  <si>
    <t>= 0 ou (MO subsidiária + FSE de utilização direta na produção)</t>
  </si>
  <si>
    <t>Custo da produção Total</t>
  </si>
  <si>
    <t>CMC+G.pessoal Fabril+GGF</t>
  </si>
  <si>
    <t>Inventário PA e PTC (dias)</t>
  </si>
  <si>
    <t>dias de inventário coniderando Ano = 365 dias</t>
  </si>
  <si>
    <t>3. Investidor/Capital Próprio: 
Cash Flows (FCFE ) atualizados pelo Custo do Capital CAPM</t>
  </si>
  <si>
    <t>3. Avaliação Financeira "3 métodos"</t>
  </si>
  <si>
    <t>Factor de atualização - CAPM</t>
  </si>
  <si>
    <t>Valor mínimo a contratar se Tesouraria &lt; Tesouraria de Segurança</t>
  </si>
  <si>
    <t>Ficha Técnica:</t>
  </si>
  <si>
    <t>Concepção, organização e conteúdos</t>
  </si>
  <si>
    <t>IAPMEI, I.P. - Agência para a Competitividade e Inovação</t>
  </si>
  <si>
    <t>Desenvolvimento</t>
  </si>
  <si>
    <t>Moneris, SA</t>
  </si>
  <si>
    <t>Gaming’Us</t>
  </si>
  <si>
    <t>&lt;Versão 1, Coimbra, 31/05/2022&gt;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</si>
</sst>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6" x14ac:knownFonts="1">
    <font>
      <sz val="11"/>
      <color theme="1"/>
      <name val="Calibri"/>
      <family val="2"/>
      <scheme val="minor"/>
    </font>
    <font>
      <sz val="12"/>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u/>
      <sz val="10"/>
      <color theme="1"/>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sz val="9"/>
      <color rgb="FF112BAF"/>
      <name val="Calibri"/>
      <family val="2"/>
      <scheme val="minor"/>
    </font>
    <font>
      <i/>
      <sz val="8"/>
      <color rgb="FF0047D6"/>
      <name val="Calibri"/>
      <family val="2"/>
      <scheme val="minor"/>
    </font>
    <font>
      <i/>
      <sz val="8"/>
      <name val="Calibri"/>
      <family val="2"/>
      <scheme val="minor"/>
    </font>
    <font>
      <b/>
      <sz val="9"/>
      <color theme="0" tint="-0.49995422223578601"/>
      <name val="Calibri"/>
      <family val="2"/>
      <scheme val="minor"/>
    </font>
    <font>
      <sz val="9"/>
      <color rgb="FF000000"/>
      <name val="Tahoma"/>
      <family val="2"/>
    </font>
    <font>
      <sz val="8"/>
      <color rgb="FF000000"/>
      <name val="Tahoma"/>
      <family val="2"/>
    </font>
    <font>
      <b/>
      <sz val="9"/>
      <color rgb="FF000000"/>
      <name val="Tahoma"/>
      <family val="2"/>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EDF6AC"/>
        <bgColor indexed="64"/>
      </patternFill>
    </fill>
    <fill>
      <patternFill patternType="solid">
        <fgColor theme="4" tint="0.79998168889431442"/>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thin">
        <color theme="0" tint="-0.34995574816125979"/>
      </left>
      <right/>
      <top/>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44" fontId="2" fillId="0" borderId="0" applyFont="0" applyFill="0" applyBorder="0" applyAlignment="0" applyProtection="0"/>
    <xf numFmtId="42" fontId="2" fillId="0" borderId="0" applyFont="0" applyFill="0" applyBorder="0" applyAlignment="0" applyProtection="0"/>
    <xf numFmtId="43" fontId="91" fillId="0" borderId="0" applyFont="0" applyFill="0" applyBorder="0" applyAlignment="0" applyProtection="0"/>
    <xf numFmtId="41" fontId="2" fillId="0" borderId="0" applyFont="0" applyFill="0" applyBorder="0" applyAlignment="0" applyProtection="0"/>
    <xf numFmtId="0" fontId="91" fillId="0" borderId="0"/>
    <xf numFmtId="9" fontId="13" fillId="0" borderId="0" applyFont="0" applyFill="0" applyBorder="0" applyAlignment="0" applyProtection="0"/>
    <xf numFmtId="164" fontId="13" fillId="0" borderId="0" applyFont="0" applyFill="0" applyBorder="0" applyAlignment="0" applyProtection="0"/>
    <xf numFmtId="9" fontId="91" fillId="0" borderId="0" applyFont="0" applyFill="0" applyBorder="0" applyAlignment="0" applyProtection="0"/>
    <xf numFmtId="0" fontId="13" fillId="0" borderId="0"/>
    <xf numFmtId="0" fontId="91" fillId="0" borderId="0"/>
    <xf numFmtId="9" fontId="91" fillId="0" borderId="0" applyFont="0" applyFill="0" applyBorder="0" applyAlignment="0" applyProtection="0"/>
    <xf numFmtId="9" fontId="91" fillId="0" borderId="0" applyFont="0" applyFill="0" applyBorder="0" applyAlignment="0" applyProtection="0"/>
  </cellStyleXfs>
  <cellXfs count="961">
    <xf numFmtId="0" fontId="0" fillId="0" borderId="0" xfId="0"/>
    <xf numFmtId="0" fontId="4" fillId="0" borderId="0" xfId="0" applyFont="1" applyAlignment="1">
      <alignment vertical="center"/>
    </xf>
    <xf numFmtId="0" fontId="4" fillId="0" borderId="0" xfId="0" applyFont="1" applyAlignment="1">
      <alignment horizontal="center"/>
    </xf>
    <xf numFmtId="0" fontId="4" fillId="0" borderId="0" xfId="0" applyFont="1"/>
    <xf numFmtId="0" fontId="6" fillId="0" borderId="0" xfId="0" applyFont="1" applyAlignment="1">
      <alignment horizontal="left"/>
    </xf>
    <xf numFmtId="0" fontId="6" fillId="0" borderId="0" xfId="0" applyFont="1"/>
    <xf numFmtId="0" fontId="11" fillId="0" borderId="1" xfId="0" applyFont="1" applyBorder="1" applyAlignment="1">
      <alignment horizontal="left" indent="1"/>
    </xf>
    <xf numFmtId="0" fontId="0" fillId="0" borderId="0" xfId="0" applyAlignment="1">
      <alignment horizontal="center"/>
    </xf>
    <xf numFmtId="0" fontId="6" fillId="0" borderId="0" xfId="10" applyFont="1"/>
    <xf numFmtId="0" fontId="7" fillId="3" borderId="5" xfId="10" applyFont="1" applyFill="1" applyBorder="1" applyAlignment="1">
      <alignment horizontal="left" indent="2"/>
    </xf>
    <xf numFmtId="0" fontId="7" fillId="3" borderId="6" xfId="10" applyFont="1" applyFill="1" applyBorder="1" applyAlignment="1">
      <alignment horizontal="left" indent="2"/>
    </xf>
    <xf numFmtId="0" fontId="7" fillId="2" borderId="6" xfId="10" applyFont="1" applyFill="1" applyBorder="1" applyAlignment="1">
      <alignment horizontal="left" vertical="center" indent="1"/>
    </xf>
    <xf numFmtId="0" fontId="16" fillId="0" borderId="0" xfId="0" applyFont="1"/>
    <xf numFmtId="0" fontId="5" fillId="0" borderId="0" xfId="0" applyFont="1"/>
    <xf numFmtId="0" fontId="7" fillId="0" borderId="7" xfId="10" applyFont="1" applyFill="1" applyBorder="1" applyAlignment="1">
      <alignment horizontal="left" vertical="center"/>
    </xf>
    <xf numFmtId="0" fontId="7" fillId="4" borderId="6" xfId="0" applyFont="1" applyFill="1" applyBorder="1" applyAlignment="1"/>
    <xf numFmtId="0" fontId="21" fillId="5" borderId="1" xfId="0" applyFont="1" applyFill="1" applyBorder="1" applyAlignment="1">
      <alignment horizontal="right" indent="3"/>
    </xf>
    <xf numFmtId="0" fontId="14" fillId="0" borderId="1" xfId="0" applyFont="1" applyBorder="1" applyAlignment="1">
      <alignment horizontal="left" vertical="center" indent="2"/>
    </xf>
    <xf numFmtId="0" fontId="7" fillId="3" borderId="6" xfId="0" applyFont="1" applyFill="1" applyBorder="1" applyAlignment="1"/>
    <xf numFmtId="0" fontId="23" fillId="0" borderId="1" xfId="0" applyFont="1" applyBorder="1" applyAlignment="1">
      <alignment horizontal="left" indent="1"/>
    </xf>
    <xf numFmtId="0" fontId="24" fillId="0" borderId="0" xfId="0" applyFont="1" applyAlignment="1">
      <alignment horizontal="left" vertical="center" indent="1"/>
    </xf>
    <xf numFmtId="0" fontId="22" fillId="0" borderId="0" xfId="0" applyFont="1"/>
    <xf numFmtId="0" fontId="5" fillId="3" borderId="3" xfId="0" applyFont="1" applyFill="1" applyBorder="1" applyAlignment="1">
      <alignment horizontal="center" vertical="center"/>
    </xf>
    <xf numFmtId="167" fontId="23" fillId="0" borderId="8" xfId="0" applyNumberFormat="1" applyFont="1" applyBorder="1" applyAlignment="1">
      <alignment horizontal="right" vertical="center"/>
    </xf>
    <xf numFmtId="167" fontId="23" fillId="3" borderId="8" xfId="0" applyNumberFormat="1" applyFont="1" applyFill="1" applyBorder="1" applyAlignment="1">
      <alignment horizontal="right" vertical="center"/>
    </xf>
    <xf numFmtId="0" fontId="7" fillId="5" borderId="6" xfId="0" applyFont="1" applyFill="1" applyBorder="1" applyAlignment="1"/>
    <xf numFmtId="167" fontId="23" fillId="0" borderId="1" xfId="3" applyNumberFormat="1" applyFont="1" applyBorder="1" applyAlignment="1">
      <alignment horizontal="right" vertical="center" indent="1"/>
    </xf>
    <xf numFmtId="167" fontId="23" fillId="3" borderId="3" xfId="0" applyNumberFormat="1" applyFont="1" applyFill="1" applyBorder="1" applyAlignment="1">
      <alignment horizontal="right"/>
    </xf>
    <xf numFmtId="167" fontId="23" fillId="3" borderId="2" xfId="0" applyNumberFormat="1" applyFont="1" applyFill="1" applyBorder="1" applyAlignment="1">
      <alignment horizontal="right"/>
    </xf>
    <xf numFmtId="167" fontId="23" fillId="0" borderId="1" xfId="0" applyNumberFormat="1" applyFont="1" applyBorder="1" applyAlignment="1">
      <alignment horizontal="right" vertical="center"/>
    </xf>
    <xf numFmtId="167" fontId="23" fillId="0" borderId="1" xfId="3" applyNumberFormat="1" applyFont="1" applyBorder="1" applyAlignment="1">
      <alignment horizontal="right" vertical="center"/>
    </xf>
    <xf numFmtId="167" fontId="23" fillId="0" borderId="1" xfId="3" applyNumberFormat="1" applyFont="1" applyBorder="1" applyAlignment="1">
      <alignment vertical="center"/>
    </xf>
    <xf numFmtId="0" fontId="27" fillId="0" borderId="0" xfId="0" applyFont="1"/>
    <xf numFmtId="0" fontId="24" fillId="0" borderId="0" xfId="0" applyFont="1"/>
    <xf numFmtId="0" fontId="10" fillId="0" borderId="0" xfId="0" applyFont="1"/>
    <xf numFmtId="0" fontId="6" fillId="0" borderId="0" xfId="0" applyFont="1" applyAlignment="1">
      <alignment horizontal="center"/>
    </xf>
    <xf numFmtId="0" fontId="7" fillId="0" borderId="4" xfId="0" applyFont="1" applyBorder="1"/>
    <xf numFmtId="0" fontId="6" fillId="0" borderId="4" xfId="0" applyFont="1" applyBorder="1"/>
    <xf numFmtId="0" fontId="6" fillId="0" borderId="4" xfId="0" applyFont="1" applyBorder="1" applyAlignment="1">
      <alignment horizontal="center"/>
    </xf>
    <xf numFmtId="0" fontId="7" fillId="0" borderId="4" xfId="0" applyFont="1" applyBorder="1" applyAlignment="1">
      <alignment horizontal="center"/>
    </xf>
    <xf numFmtId="0" fontId="6" fillId="0" borderId="1" xfId="0" applyFont="1" applyBorder="1" applyAlignment="1">
      <alignment horizontal="center"/>
    </xf>
    <xf numFmtId="0" fontId="29" fillId="0" borderId="0" xfId="0" applyFont="1" applyAlignment="1">
      <alignment horizontal="left" indent="1"/>
    </xf>
    <xf numFmtId="0" fontId="30" fillId="0" borderId="0" xfId="0" applyFont="1"/>
    <xf numFmtId="0" fontId="31" fillId="0" borderId="0" xfId="0" applyFont="1" applyAlignment="1">
      <alignment horizontal="center"/>
    </xf>
    <xf numFmtId="0" fontId="31" fillId="0" borderId="0" xfId="0" applyFont="1"/>
    <xf numFmtId="0" fontId="23" fillId="0" borderId="1" xfId="0" applyFont="1" applyBorder="1" applyAlignment="1">
      <alignment horizontal="left" vertical="center" indent="1"/>
    </xf>
    <xf numFmtId="0" fontId="33" fillId="0" borderId="0" xfId="0" applyFont="1" applyAlignment="1">
      <alignment horizontal="left" vertical="center" indent="1"/>
    </xf>
    <xf numFmtId="0" fontId="34" fillId="0" borderId="9" xfId="0" applyFont="1" applyBorder="1" applyAlignment="1">
      <alignment horizontal="center" vertical="center"/>
    </xf>
    <xf numFmtId="0" fontId="34" fillId="0" borderId="10" xfId="0" applyFont="1" applyBorder="1" applyAlignment="1">
      <alignment horizontal="center" vertical="center"/>
    </xf>
    <xf numFmtId="0" fontId="23" fillId="0" borderId="6" xfId="0" applyFont="1" applyBorder="1" applyAlignment="1">
      <alignment horizontal="left" indent="1"/>
    </xf>
    <xf numFmtId="0" fontId="6" fillId="0" borderId="11" xfId="0" applyFont="1" applyFill="1" applyBorder="1" applyAlignment="1">
      <alignment horizontal="center"/>
    </xf>
    <xf numFmtId="166" fontId="23" fillId="0" borderId="1" xfId="3" applyNumberFormat="1" applyFont="1" applyBorder="1" applyAlignment="1">
      <alignment horizontal="center"/>
    </xf>
    <xf numFmtId="0" fontId="6" fillId="0" borderId="12" xfId="0" applyFont="1" applyFill="1" applyBorder="1" applyAlignment="1">
      <alignment horizontal="center"/>
    </xf>
    <xf numFmtId="3" fontId="26" fillId="3" borderId="2" xfId="0" applyNumberFormat="1" applyFont="1" applyFill="1" applyBorder="1" applyAlignment="1">
      <alignment horizontal="center" vertical="center"/>
    </xf>
    <xf numFmtId="0" fontId="23" fillId="0" borderId="6" xfId="0" applyFont="1" applyFill="1" applyBorder="1" applyAlignment="1">
      <alignment horizontal="left" indent="1"/>
    </xf>
    <xf numFmtId="0" fontId="29" fillId="0" borderId="0" xfId="0" applyFont="1"/>
    <xf numFmtId="0" fontId="10" fillId="0" borderId="0" xfId="0" applyFont="1" applyFill="1"/>
    <xf numFmtId="0" fontId="23" fillId="0" borderId="12" xfId="0" applyFont="1" applyBorder="1" applyAlignment="1">
      <alignment horizontal="left" indent="3"/>
    </xf>
    <xf numFmtId="0" fontId="23" fillId="0" borderId="1" xfId="0" applyFont="1" applyBorder="1" applyAlignment="1">
      <alignment horizontal="left" indent="3"/>
    </xf>
    <xf numFmtId="3" fontId="26" fillId="3" borderId="13" xfId="0" applyNumberFormat="1" applyFont="1" applyFill="1" applyBorder="1" applyAlignment="1">
      <alignment horizontal="center" vertical="center"/>
    </xf>
    <xf numFmtId="0" fontId="7" fillId="3" borderId="3" xfId="0" applyFont="1" applyFill="1" applyBorder="1" applyAlignment="1"/>
    <xf numFmtId="0" fontId="26" fillId="3" borderId="3" xfId="0" applyFont="1" applyFill="1" applyBorder="1" applyAlignment="1">
      <alignment horizontal="center" vertical="center"/>
    </xf>
    <xf numFmtId="0" fontId="26" fillId="3" borderId="2" xfId="0" applyFont="1" applyFill="1" applyBorder="1" applyAlignment="1">
      <alignment horizontal="center" vertical="center"/>
    </xf>
    <xf numFmtId="0" fontId="6" fillId="0" borderId="14"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10" fillId="0" borderId="0" xfId="0" applyFont="1" applyAlignment="1">
      <alignment horizontal="right"/>
    </xf>
    <xf numFmtId="0" fontId="31" fillId="0" borderId="0" xfId="0" applyFont="1" applyAlignment="1">
      <alignment horizontal="left" indent="1"/>
    </xf>
    <xf numFmtId="166" fontId="28" fillId="0" borderId="1" xfId="3" applyNumberFormat="1" applyFont="1" applyFill="1" applyBorder="1" applyAlignment="1">
      <alignment horizontal="center"/>
    </xf>
    <xf numFmtId="0" fontId="23" fillId="3" borderId="1" xfId="0" applyFont="1" applyFill="1" applyBorder="1" applyAlignment="1">
      <alignment horizontal="left" indent="1"/>
    </xf>
    <xf numFmtId="0" fontId="7" fillId="0" borderId="0" xfId="0" applyFont="1"/>
    <xf numFmtId="0" fontId="21" fillId="3" borderId="1" xfId="0" applyFont="1" applyFill="1" applyBorder="1" applyAlignment="1">
      <alignment horizontal="center"/>
    </xf>
    <xf numFmtId="0" fontId="32" fillId="0" borderId="0" xfId="0" applyFont="1" applyAlignment="1">
      <alignment horizontal="center" vertical="center"/>
    </xf>
    <xf numFmtId="167" fontId="23" fillId="3" borderId="1" xfId="0" applyNumberFormat="1" applyFont="1" applyFill="1" applyBorder="1" applyAlignment="1">
      <alignment horizontal="center"/>
    </xf>
    <xf numFmtId="167" fontId="23" fillId="0" borderId="1" xfId="0" applyNumberFormat="1" applyFont="1" applyBorder="1" applyAlignment="1">
      <alignment horizontal="center"/>
    </xf>
    <xf numFmtId="0" fontId="7" fillId="3" borderId="2" xfId="0" applyFont="1" applyFill="1" applyBorder="1" applyAlignment="1"/>
    <xf numFmtId="0" fontId="23" fillId="0" borderId="0" xfId="0" applyFont="1" applyBorder="1" applyAlignment="1">
      <alignment horizontal="left" indent="1"/>
    </xf>
    <xf numFmtId="10" fontId="6" fillId="0" borderId="0" xfId="0" applyNumberFormat="1" applyFont="1"/>
    <xf numFmtId="0" fontId="10" fillId="0" borderId="0" xfId="0" applyFont="1" applyAlignment="1">
      <alignment vertical="center"/>
    </xf>
    <xf numFmtId="0" fontId="6" fillId="0" borderId="0" xfId="0" applyFont="1" applyAlignment="1">
      <alignment vertical="center"/>
    </xf>
    <xf numFmtId="0" fontId="37" fillId="0" borderId="0" xfId="0" applyFont="1"/>
    <xf numFmtId="0" fontId="37" fillId="0" borderId="0" xfId="0" applyFont="1" applyAlignment="1">
      <alignment horizontal="left" indent="1"/>
    </xf>
    <xf numFmtId="0" fontId="6" fillId="0" borderId="4" xfId="0" applyFont="1" applyBorder="1" applyAlignment="1">
      <alignment horizontal="center" vertical="center"/>
    </xf>
    <xf numFmtId="0" fontId="38" fillId="0" borderId="0" xfId="0" applyFont="1" applyAlignment="1">
      <alignment horizontal="left" indent="1"/>
    </xf>
    <xf numFmtId="0" fontId="38" fillId="0" borderId="0" xfId="0" applyFont="1" applyAlignment="1">
      <alignment horizontal="left" indent="2"/>
    </xf>
    <xf numFmtId="0" fontId="23" fillId="2" borderId="3" xfId="0" applyFont="1" applyFill="1" applyBorder="1" applyAlignment="1">
      <alignment horizontal="left" indent="1"/>
    </xf>
    <xf numFmtId="0" fontId="23" fillId="2" borderId="2" xfId="0" applyFont="1" applyFill="1" applyBorder="1" applyAlignment="1">
      <alignment horizontal="left" indent="1"/>
    </xf>
    <xf numFmtId="167" fontId="23" fillId="3" borderId="1" xfId="0" applyNumberFormat="1" applyFont="1" applyFill="1" applyBorder="1" applyAlignment="1">
      <alignment horizontal="left" indent="1"/>
    </xf>
    <xf numFmtId="0" fontId="6" fillId="0" borderId="1" xfId="10" applyFont="1" applyBorder="1" applyAlignment="1">
      <alignment horizontal="left" indent="4"/>
    </xf>
    <xf numFmtId="0" fontId="23" fillId="0" borderId="14" xfId="0" applyFont="1" applyBorder="1" applyAlignment="1">
      <alignment horizontal="left" indent="1"/>
    </xf>
    <xf numFmtId="0" fontId="23" fillId="0" borderId="11" xfId="0" applyFont="1" applyBorder="1" applyAlignment="1">
      <alignment horizontal="left" indent="1"/>
    </xf>
    <xf numFmtId="0" fontId="23" fillId="0" borderId="12" xfId="0" applyFont="1" applyBorder="1" applyAlignment="1">
      <alignment horizontal="left" indent="1"/>
    </xf>
    <xf numFmtId="0" fontId="23" fillId="3" borderId="3" xfId="0" applyFont="1" applyFill="1" applyBorder="1" applyAlignment="1">
      <alignment horizontal="left" indent="1"/>
    </xf>
    <xf numFmtId="0" fontId="23" fillId="3" borderId="2" xfId="0" applyFont="1" applyFill="1" applyBorder="1" applyAlignment="1">
      <alignment horizontal="left" indent="1"/>
    </xf>
    <xf numFmtId="0" fontId="39" fillId="0" borderId="0" xfId="0" applyFont="1" applyAlignment="1">
      <alignment horizontal="left" indent="1"/>
    </xf>
    <xf numFmtId="0" fontId="6" fillId="0" borderId="15" xfId="10" applyFont="1" applyBorder="1" applyAlignment="1">
      <alignment horizontal="left" indent="4"/>
    </xf>
    <xf numFmtId="9" fontId="23" fillId="0" borderId="1" xfId="11" applyFont="1" applyBorder="1" applyAlignment="1">
      <alignment horizontal="center" vertical="center"/>
    </xf>
    <xf numFmtId="0" fontId="6" fillId="0" borderId="6" xfId="10" applyFont="1" applyBorder="1" applyAlignment="1">
      <alignment horizontal="left" indent="4"/>
    </xf>
    <xf numFmtId="0" fontId="23" fillId="0" borderId="16" xfId="0" applyFont="1" applyFill="1" applyBorder="1" applyAlignment="1">
      <alignment horizontal="left" indent="1"/>
    </xf>
    <xf numFmtId="0" fontId="10" fillId="0" borderId="0" xfId="0" applyFont="1" applyAlignment="1">
      <alignment horizontal="center" vertical="center"/>
    </xf>
    <xf numFmtId="0" fontId="40" fillId="0" borderId="0" xfId="0" quotePrefix="1" applyFont="1" applyAlignment="1">
      <alignment horizontal="center" vertical="center"/>
    </xf>
    <xf numFmtId="0" fontId="23" fillId="0" borderId="1" xfId="0" applyFont="1" applyBorder="1" applyAlignment="1">
      <alignment horizontal="left" vertical="center" indent="2"/>
    </xf>
    <xf numFmtId="0" fontId="23" fillId="0" borderId="1" xfId="0" applyFont="1" applyBorder="1" applyAlignment="1">
      <alignment horizontal="left" vertical="center" wrapText="1" indent="2"/>
    </xf>
    <xf numFmtId="0" fontId="40" fillId="0" borderId="0" xfId="0" quotePrefix="1" applyFont="1" applyFill="1" applyBorder="1" applyAlignment="1">
      <alignment horizontal="center" vertical="center"/>
    </xf>
    <xf numFmtId="0" fontId="40" fillId="0" borderId="0" xfId="0" applyFont="1" applyAlignment="1">
      <alignment horizontal="center" vertical="center"/>
    </xf>
    <xf numFmtId="0" fontId="7" fillId="3" borderId="6" xfId="0" applyFont="1" applyFill="1" applyBorder="1" applyAlignment="1">
      <alignment horizontal="right" vertical="center" indent="1"/>
    </xf>
    <xf numFmtId="0" fontId="41" fillId="0" borderId="1" xfId="0" applyFont="1" applyBorder="1" applyAlignment="1">
      <alignment horizontal="left" vertical="center" indent="3"/>
    </xf>
    <xf numFmtId="167" fontId="23" fillId="0" borderId="1" xfId="0" applyNumberFormat="1" applyFont="1" applyBorder="1" applyAlignment="1">
      <alignment horizontal="right" indent="1"/>
    </xf>
    <xf numFmtId="0" fontId="23" fillId="0" borderId="6" xfId="0" applyFont="1" applyBorder="1" applyAlignment="1">
      <alignment horizontal="left" indent="2"/>
    </xf>
    <xf numFmtId="0" fontId="6" fillId="0" borderId="3" xfId="0" applyFont="1" applyBorder="1" applyAlignment="1">
      <alignment horizontal="center"/>
    </xf>
    <xf numFmtId="167" fontId="23" fillId="0" borderId="3" xfId="0" applyNumberFormat="1" applyFont="1" applyBorder="1" applyAlignment="1">
      <alignment horizontal="right" indent="1"/>
    </xf>
    <xf numFmtId="167" fontId="23" fillId="0" borderId="2" xfId="0" applyNumberFormat="1" applyFont="1" applyBorder="1" applyAlignment="1">
      <alignment horizontal="right" indent="1"/>
    </xf>
    <xf numFmtId="0" fontId="6" fillId="0" borderId="0" xfId="0" applyFont="1" applyFill="1" applyBorder="1"/>
    <xf numFmtId="0" fontId="21" fillId="0" borderId="0" xfId="0" applyFont="1" applyFill="1" applyBorder="1" applyAlignment="1">
      <alignment horizontal="left" indent="2"/>
    </xf>
    <xf numFmtId="9" fontId="26" fillId="0" borderId="0" xfId="11" applyFont="1" applyFill="1" applyBorder="1" applyAlignment="1">
      <alignment horizontal="center"/>
    </xf>
    <xf numFmtId="167" fontId="23" fillId="0" borderId="0" xfId="0" applyNumberFormat="1" applyFont="1" applyFill="1" applyBorder="1" applyAlignment="1">
      <alignment horizontal="center"/>
    </xf>
    <xf numFmtId="0" fontId="31" fillId="0" borderId="0" xfId="0" applyFont="1" applyFill="1" applyBorder="1" applyAlignment="1">
      <alignment horizontal="left" indent="1"/>
    </xf>
    <xf numFmtId="167" fontId="21" fillId="4" borderId="1" xfId="0" applyNumberFormat="1" applyFont="1" applyFill="1" applyBorder="1" applyAlignment="1">
      <alignment horizontal="center"/>
    </xf>
    <xf numFmtId="167" fontId="21" fillId="3" borderId="1" xfId="0" applyNumberFormat="1" applyFont="1" applyFill="1" applyBorder="1" applyAlignment="1">
      <alignment horizontal="center"/>
    </xf>
    <xf numFmtId="0" fontId="9" fillId="0" borderId="0" xfId="0" applyFont="1"/>
    <xf numFmtId="0" fontId="42" fillId="0" borderId="0" xfId="0" applyFont="1" applyAlignment="1">
      <alignment horizontal="left" indent="1"/>
    </xf>
    <xf numFmtId="0" fontId="23" fillId="0" borderId="0" xfId="0" applyFont="1" applyFill="1" applyBorder="1" applyAlignment="1">
      <alignment horizontal="left" indent="4"/>
    </xf>
    <xf numFmtId="167" fontId="28" fillId="0" borderId="0" xfId="0" applyNumberFormat="1" applyFont="1" applyFill="1" applyBorder="1" applyAlignment="1">
      <alignment horizontal="center"/>
    </xf>
    <xf numFmtId="0" fontId="29" fillId="0" borderId="0" xfId="0" applyFont="1" applyFill="1" applyBorder="1"/>
    <xf numFmtId="0" fontId="21" fillId="0" borderId="0" xfId="0" applyFont="1" applyFill="1" applyBorder="1" applyAlignment="1">
      <alignment horizontal="left" indent="3"/>
    </xf>
    <xf numFmtId="0" fontId="6" fillId="0" borderId="0" xfId="0" applyFont="1" applyFill="1" applyBorder="1" applyAlignment="1">
      <alignment horizontal="center"/>
    </xf>
    <xf numFmtId="0" fontId="23" fillId="0" borderId="17" xfId="0" applyFont="1" applyBorder="1" applyAlignment="1">
      <alignment horizontal="left" indent="3"/>
    </xf>
    <xf numFmtId="0" fontId="6" fillId="0" borderId="17" xfId="0" applyFont="1" applyBorder="1" applyAlignment="1">
      <alignment horizontal="center"/>
    </xf>
    <xf numFmtId="0" fontId="21" fillId="0" borderId="6" xfId="0" applyFont="1" applyBorder="1" applyAlignment="1">
      <alignment horizontal="left" indent="2"/>
    </xf>
    <xf numFmtId="0" fontId="21" fillId="0" borderId="3" xfId="0" applyFont="1" applyBorder="1" applyAlignment="1">
      <alignment horizontal="left" indent="2"/>
    </xf>
    <xf numFmtId="0" fontId="23" fillId="0" borderId="3" xfId="0" applyFont="1" applyBorder="1" applyAlignment="1">
      <alignment horizontal="left" indent="1"/>
    </xf>
    <xf numFmtId="0" fontId="23" fillId="0" borderId="2" xfId="0" applyFont="1" applyBorder="1" applyAlignment="1">
      <alignment horizontal="left" indent="1"/>
    </xf>
    <xf numFmtId="0" fontId="23" fillId="0" borderId="3" xfId="0" applyFont="1" applyBorder="1" applyAlignment="1">
      <alignment horizontal="left" indent="3"/>
    </xf>
    <xf numFmtId="0" fontId="7" fillId="4" borderId="3" xfId="0" applyFont="1" applyFill="1" applyBorder="1" applyAlignment="1"/>
    <xf numFmtId="0" fontId="7" fillId="4" borderId="6" xfId="0" applyFont="1" applyFill="1" applyBorder="1" applyAlignment="1">
      <alignment horizontal="right"/>
    </xf>
    <xf numFmtId="0" fontId="7" fillId="4" borderId="3" xfId="0" applyFont="1" applyFill="1" applyBorder="1" applyAlignment="1">
      <alignment horizontal="right"/>
    </xf>
    <xf numFmtId="0" fontId="7" fillId="4" borderId="2" xfId="0" applyFont="1" applyFill="1" applyBorder="1" applyAlignment="1">
      <alignment horizontal="right"/>
    </xf>
    <xf numFmtId="167" fontId="7" fillId="4" borderId="3" xfId="0" applyNumberFormat="1" applyFont="1" applyFill="1" applyBorder="1" applyAlignment="1">
      <alignment horizontal="right"/>
    </xf>
    <xf numFmtId="167" fontId="23" fillId="0" borderId="1" xfId="0" applyNumberFormat="1" applyFont="1" applyBorder="1" applyAlignment="1">
      <alignment horizontal="right"/>
    </xf>
    <xf numFmtId="167" fontId="7" fillId="4" borderId="2" xfId="0" applyNumberFormat="1" applyFont="1" applyFill="1" applyBorder="1" applyAlignment="1">
      <alignment horizontal="right"/>
    </xf>
    <xf numFmtId="0" fontId="6" fillId="5" borderId="11" xfId="0" applyFont="1" applyFill="1" applyBorder="1" applyAlignment="1">
      <alignment horizontal="center"/>
    </xf>
    <xf numFmtId="0" fontId="6" fillId="5" borderId="12" xfId="0" applyFont="1" applyFill="1" applyBorder="1" applyAlignment="1">
      <alignment horizontal="center"/>
    </xf>
    <xf numFmtId="0" fontId="0" fillId="3" borderId="1" xfId="0" applyFont="1" applyFill="1" applyBorder="1"/>
    <xf numFmtId="0" fontId="0" fillId="0" borderId="0" xfId="0" applyFont="1" applyAlignment="1">
      <alignment horizontal="center"/>
    </xf>
    <xf numFmtId="0" fontId="0" fillId="0" borderId="0" xfId="0" applyFont="1"/>
    <xf numFmtId="0" fontId="44" fillId="0" borderId="0" xfId="0" applyFont="1"/>
    <xf numFmtId="0" fontId="45" fillId="0" borderId="0" xfId="0" applyFont="1"/>
    <xf numFmtId="0" fontId="8" fillId="2" borderId="0" xfId="0" applyFont="1" applyFill="1" applyAlignment="1">
      <alignment horizontal="left" indent="1"/>
    </xf>
    <xf numFmtId="0" fontId="8" fillId="2" borderId="0" xfId="0" applyFont="1" applyFill="1"/>
    <xf numFmtId="0" fontId="8" fillId="2" borderId="0" xfId="0" applyFont="1" applyFill="1" applyAlignment="1">
      <alignment horizontal="center"/>
    </xf>
    <xf numFmtId="0" fontId="45" fillId="2" borderId="0" xfId="0" applyFont="1" applyFill="1" applyAlignment="1">
      <alignment horizontal="center"/>
    </xf>
    <xf numFmtId="0" fontId="46" fillId="0" borderId="0" xfId="0" applyFont="1"/>
    <xf numFmtId="0" fontId="47" fillId="0" borderId="4" xfId="0" applyFont="1" applyBorder="1"/>
    <xf numFmtId="0" fontId="48" fillId="0" borderId="4" xfId="0" applyFont="1" applyBorder="1"/>
    <xf numFmtId="0" fontId="48" fillId="0" borderId="4" xfId="0" applyFont="1" applyBorder="1" applyAlignment="1">
      <alignment horizontal="center"/>
    </xf>
    <xf numFmtId="0" fontId="48" fillId="0" borderId="0" xfId="0" applyFont="1"/>
    <xf numFmtId="0" fontId="3" fillId="3" borderId="1" xfId="0" applyFont="1" applyFill="1" applyBorder="1" applyAlignment="1">
      <alignment horizontal="left" indent="1"/>
    </xf>
    <xf numFmtId="0" fontId="6" fillId="3" borderId="2" xfId="0" applyFont="1" applyFill="1" applyBorder="1" applyAlignment="1">
      <alignment horizontal="center" vertical="center"/>
    </xf>
    <xf numFmtId="0" fontId="6" fillId="0" borderId="0" xfId="0" applyFont="1" applyAlignment="1">
      <alignment horizontal="center" vertical="center"/>
    </xf>
    <xf numFmtId="0" fontId="23" fillId="0" borderId="1" xfId="0" applyFont="1" applyBorder="1" applyAlignment="1">
      <alignment horizontal="left" vertical="center" indent="3"/>
    </xf>
    <xf numFmtId="0" fontId="3" fillId="3" borderId="1" xfId="0" applyFont="1" applyFill="1" applyBorder="1" applyAlignment="1">
      <alignment horizontal="left" vertical="center" indent="1"/>
    </xf>
    <xf numFmtId="0" fontId="3" fillId="2" borderId="0" xfId="0" applyFont="1" applyFill="1" applyAlignment="1">
      <alignment horizontal="left" vertical="center"/>
    </xf>
    <xf numFmtId="0" fontId="0" fillId="0" borderId="0" xfId="0" applyFont="1" applyAlignment="1">
      <alignment vertical="center"/>
    </xf>
    <xf numFmtId="0" fontId="22" fillId="0" borderId="0" xfId="0" applyFont="1" applyAlignment="1">
      <alignment horizontal="left" vertical="center"/>
    </xf>
    <xf numFmtId="0" fontId="0" fillId="2" borderId="0" xfId="0" applyFont="1" applyFill="1" applyAlignment="1">
      <alignment horizontal="left" vertical="center"/>
    </xf>
    <xf numFmtId="0" fontId="0" fillId="0" borderId="0" xfId="0" applyFont="1" applyAlignment="1">
      <alignment horizontal="left" vertical="center"/>
    </xf>
    <xf numFmtId="0" fontId="8" fillId="2" borderId="0" xfId="0" applyFont="1" applyFill="1" applyAlignment="1">
      <alignment horizontal="left" vertical="center"/>
    </xf>
    <xf numFmtId="0" fontId="33" fillId="0" borderId="0" xfId="0" applyFont="1" applyAlignment="1">
      <alignment horizontal="left" vertical="center"/>
    </xf>
    <xf numFmtId="0" fontId="7" fillId="7" borderId="6" xfId="0" applyFont="1" applyFill="1" applyBorder="1" applyAlignment="1">
      <alignment horizontal="right" vertical="center" indent="1"/>
    </xf>
    <xf numFmtId="0" fontId="36" fillId="7" borderId="1" xfId="0" applyFont="1" applyFill="1" applyBorder="1" applyAlignment="1">
      <alignment horizontal="center" vertical="center"/>
    </xf>
    <xf numFmtId="3" fontId="28" fillId="7" borderId="1" xfId="0" applyNumberFormat="1" applyFont="1" applyFill="1" applyBorder="1" applyAlignment="1">
      <alignment horizontal="center" vertical="center"/>
    </xf>
    <xf numFmtId="0" fontId="28" fillId="7" borderId="1" xfId="0" applyFont="1" applyFill="1" applyBorder="1" applyAlignment="1">
      <alignment horizontal="center" vertical="center"/>
    </xf>
    <xf numFmtId="3" fontId="26" fillId="7" borderId="1" xfId="0" applyNumberFormat="1" applyFont="1" applyFill="1" applyBorder="1" applyAlignment="1">
      <alignment horizontal="center" vertical="center"/>
    </xf>
    <xf numFmtId="0" fontId="21" fillId="3" borderId="1" xfId="0" applyFont="1" applyFill="1" applyBorder="1" applyAlignment="1">
      <alignment horizontal="right" vertical="center" indent="1"/>
    </xf>
    <xf numFmtId="0" fontId="10" fillId="0" borderId="0" xfId="0" applyFont="1" applyFill="1" applyAlignment="1">
      <alignment vertical="center"/>
    </xf>
    <xf numFmtId="0" fontId="21" fillId="3" borderId="1" xfId="0" applyFont="1" applyFill="1" applyBorder="1" applyAlignment="1">
      <alignment horizontal="left" vertical="center"/>
    </xf>
    <xf numFmtId="0" fontId="6" fillId="0" borderId="0" xfId="0" applyFont="1" applyFill="1" applyAlignment="1">
      <alignment vertical="center"/>
    </xf>
    <xf numFmtId="0" fontId="23" fillId="0" borderId="1" xfId="0" applyFont="1" applyBorder="1" applyAlignment="1">
      <alignment horizontal="left" vertical="center"/>
    </xf>
    <xf numFmtId="0" fontId="21" fillId="3" borderId="1" xfId="0" applyFont="1" applyFill="1" applyBorder="1" applyAlignment="1">
      <alignment horizontal="left" vertical="center" indent="1"/>
    </xf>
    <xf numFmtId="0" fontId="3" fillId="7" borderId="3" xfId="0" applyFont="1" applyFill="1" applyBorder="1" applyAlignment="1"/>
    <xf numFmtId="0" fontId="3" fillId="7" borderId="6" xfId="0" applyFont="1" applyFill="1" applyBorder="1" applyAlignment="1">
      <alignment vertical="center"/>
    </xf>
    <xf numFmtId="0" fontId="3" fillId="7" borderId="3" xfId="0" applyFont="1" applyFill="1" applyBorder="1" applyAlignment="1">
      <alignment vertical="center"/>
    </xf>
    <xf numFmtId="0" fontId="3" fillId="7" borderId="2" xfId="0" applyFont="1" applyFill="1" applyBorder="1" applyAlignment="1">
      <alignment vertical="center"/>
    </xf>
    <xf numFmtId="0" fontId="3" fillId="7" borderId="6" xfId="0" applyFont="1" applyFill="1" applyBorder="1" applyAlignment="1">
      <alignment horizontal="right" indent="1"/>
    </xf>
    <xf numFmtId="0" fontId="7" fillId="3" borderId="6" xfId="0" applyFont="1" applyFill="1" applyBorder="1" applyAlignment="1">
      <alignment vertical="center"/>
    </xf>
    <xf numFmtId="0" fontId="7" fillId="3" borderId="3" xfId="0" applyFont="1" applyFill="1" applyBorder="1" applyAlignment="1">
      <alignment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166" fontId="26" fillId="3" borderId="3" xfId="0" applyNumberFormat="1" applyFont="1" applyFill="1" applyBorder="1" applyAlignment="1">
      <alignment vertical="center"/>
    </xf>
    <xf numFmtId="166" fontId="26" fillId="3" borderId="3" xfId="3" applyNumberFormat="1" applyFont="1" applyFill="1" applyBorder="1" applyAlignment="1">
      <alignment vertical="center"/>
    </xf>
    <xf numFmtId="0" fontId="35" fillId="0" borderId="0" xfId="0" applyFont="1" applyAlignment="1">
      <alignment horizontal="left" vertical="center"/>
    </xf>
    <xf numFmtId="43" fontId="23" fillId="0" borderId="1" xfId="3" applyNumberFormat="1" applyFont="1" applyFill="1" applyBorder="1" applyAlignment="1">
      <alignment horizontal="center" vertical="center"/>
    </xf>
    <xf numFmtId="0" fontId="7" fillId="3" borderId="6" xfId="0" applyFont="1" applyFill="1" applyBorder="1" applyAlignment="1">
      <alignment horizontal="left" vertical="center" indent="1"/>
    </xf>
    <xf numFmtId="166" fontId="28" fillId="0" borderId="1" xfId="3" applyNumberFormat="1" applyFont="1" applyFill="1" applyBorder="1" applyAlignment="1">
      <alignment horizontal="center" vertical="center"/>
    </xf>
    <xf numFmtId="0" fontId="23" fillId="3" borderId="1" xfId="0" applyFont="1" applyFill="1" applyBorder="1" applyAlignment="1">
      <alignment horizontal="center" vertical="center"/>
    </xf>
    <xf numFmtId="0" fontId="45" fillId="0" borderId="0" xfId="0" applyFont="1" applyAlignment="1">
      <alignment vertical="center"/>
    </xf>
    <xf numFmtId="0" fontId="8" fillId="2" borderId="0" xfId="0" applyFont="1" applyFill="1" applyAlignment="1">
      <alignment vertical="center"/>
    </xf>
    <xf numFmtId="0" fontId="45" fillId="2" borderId="0" xfId="0" applyFont="1" applyFill="1" applyAlignment="1">
      <alignment vertical="center"/>
    </xf>
    <xf numFmtId="0" fontId="29" fillId="0" borderId="0" xfId="0" applyFont="1" applyAlignment="1">
      <alignment vertical="center"/>
    </xf>
    <xf numFmtId="167" fontId="7" fillId="3" borderId="3" xfId="0" applyNumberFormat="1" applyFont="1" applyFill="1" applyBorder="1" applyAlignment="1">
      <alignment horizontal="right" vertical="center" indent="1"/>
    </xf>
    <xf numFmtId="0" fontId="6" fillId="0" borderId="11" xfId="0" applyFont="1" applyFill="1" applyBorder="1" applyAlignment="1">
      <alignment horizontal="center" vertical="center"/>
    </xf>
    <xf numFmtId="167" fontId="23" fillId="0" borderId="1" xfId="0" applyNumberFormat="1" applyFont="1" applyBorder="1" applyAlignment="1">
      <alignment horizontal="right" vertical="center" indent="1"/>
    </xf>
    <xf numFmtId="167" fontId="23" fillId="0" borderId="1" xfId="0" applyNumberFormat="1" applyFont="1" applyFill="1" applyBorder="1" applyAlignment="1">
      <alignment horizontal="right" vertical="center" indent="1"/>
    </xf>
    <xf numFmtId="167" fontId="7" fillId="3" borderId="2" xfId="0" applyNumberFormat="1" applyFont="1" applyFill="1" applyBorder="1" applyAlignment="1">
      <alignment horizontal="right" vertical="center" indent="1"/>
    </xf>
    <xf numFmtId="167" fontId="23" fillId="3" borderId="1" xfId="0" applyNumberFormat="1" applyFont="1" applyFill="1" applyBorder="1" applyAlignment="1">
      <alignment horizontal="right" vertical="center"/>
    </xf>
    <xf numFmtId="0" fontId="37" fillId="0" borderId="1" xfId="0" applyFont="1" applyBorder="1" applyAlignment="1">
      <alignment horizontal="left" indent="2"/>
    </xf>
    <xf numFmtId="0" fontId="37" fillId="0" borderId="11" xfId="0" applyFont="1" applyBorder="1" applyAlignment="1">
      <alignment horizontal="center" vertical="center"/>
    </xf>
    <xf numFmtId="0" fontId="37" fillId="0" borderId="1" xfId="0" applyFont="1" applyBorder="1" applyAlignment="1">
      <alignment horizontal="left" vertical="center" indent="1"/>
    </xf>
    <xf numFmtId="167" fontId="38" fillId="0" borderId="1" xfId="0" applyNumberFormat="1" applyFont="1" applyBorder="1" applyAlignment="1">
      <alignment horizontal="right" vertical="center" indent="1"/>
    </xf>
    <xf numFmtId="0" fontId="31" fillId="0" borderId="0" xfId="0" applyFont="1" applyAlignment="1">
      <alignment horizontal="left" vertical="center"/>
    </xf>
    <xf numFmtId="0" fontId="21" fillId="3" borderId="6" xfId="0" applyFont="1" applyFill="1" applyBorder="1" applyAlignment="1">
      <alignment horizontal="left" indent="2"/>
    </xf>
    <xf numFmtId="1" fontId="26" fillId="3" borderId="3" xfId="0" applyNumberFormat="1" applyFont="1" applyFill="1" applyBorder="1" applyAlignment="1">
      <alignment horizontal="center"/>
    </xf>
    <xf numFmtId="1" fontId="26" fillId="3" borderId="2" xfId="0" applyNumberFormat="1" applyFont="1" applyFill="1" applyBorder="1" applyAlignment="1">
      <alignment horizontal="center"/>
    </xf>
    <xf numFmtId="1" fontId="26" fillId="0" borderId="3" xfId="0" applyNumberFormat="1" applyFont="1" applyBorder="1" applyAlignment="1">
      <alignment horizontal="center"/>
    </xf>
    <xf numFmtId="1" fontId="26" fillId="0" borderId="2" xfId="0" applyNumberFormat="1" applyFont="1" applyBorder="1" applyAlignment="1">
      <alignment horizontal="center"/>
    </xf>
    <xf numFmtId="0" fontId="21" fillId="4" borderId="6" xfId="0" applyFont="1" applyFill="1" applyBorder="1" applyAlignment="1">
      <alignment horizontal="left" indent="1"/>
    </xf>
    <xf numFmtId="0" fontId="23" fillId="4" borderId="3" xfId="0" applyFont="1" applyFill="1" applyBorder="1" applyAlignment="1">
      <alignment horizontal="center"/>
    </xf>
    <xf numFmtId="0" fontId="23" fillId="4" borderId="2" xfId="0" applyFont="1" applyFill="1" applyBorder="1" applyAlignment="1">
      <alignment horizontal="center"/>
    </xf>
    <xf numFmtId="0" fontId="38" fillId="4" borderId="1" xfId="0" applyFont="1" applyFill="1" applyBorder="1" applyAlignment="1">
      <alignment horizontal="left" indent="1"/>
    </xf>
    <xf numFmtId="0" fontId="37" fillId="4" borderId="1" xfId="0" applyFont="1" applyFill="1" applyBorder="1" applyAlignment="1">
      <alignment horizontal="center"/>
    </xf>
    <xf numFmtId="167" fontId="37" fillId="4" borderId="1" xfId="0" applyNumberFormat="1" applyFont="1" applyFill="1" applyBorder="1" applyAlignment="1">
      <alignment horizontal="center"/>
    </xf>
    <xf numFmtId="1" fontId="38" fillId="0" borderId="1" xfId="0" applyNumberFormat="1" applyFont="1" applyBorder="1" applyAlignment="1">
      <alignment horizontal="center"/>
    </xf>
    <xf numFmtId="167" fontId="37" fillId="0" borderId="1" xfId="0" applyNumberFormat="1" applyFont="1" applyBorder="1" applyAlignment="1">
      <alignment horizontal="center"/>
    </xf>
    <xf numFmtId="0" fontId="44" fillId="0" borderId="0" xfId="0" applyFont="1" applyAlignment="1">
      <alignment vertical="center"/>
    </xf>
    <xf numFmtId="0" fontId="8" fillId="2" borderId="0" xfId="0" applyFont="1" applyFill="1" applyAlignment="1">
      <alignment horizontal="center" vertical="center"/>
    </xf>
    <xf numFmtId="0" fontId="45" fillId="2" borderId="0" xfId="0" applyFont="1" applyFill="1" applyAlignment="1">
      <alignment horizontal="center" vertical="center"/>
    </xf>
    <xf numFmtId="0" fontId="11" fillId="0" borderId="0" xfId="0" applyFont="1" applyAlignment="1">
      <alignment horizontal="left" indent="1"/>
    </xf>
    <xf numFmtId="0" fontId="50" fillId="0" borderId="0" xfId="0" applyFont="1" applyAlignment="1">
      <alignment horizontal="left" vertical="center" indent="1"/>
    </xf>
    <xf numFmtId="9" fontId="23" fillId="0" borderId="1" xfId="11" applyFont="1" applyBorder="1" applyAlignment="1">
      <alignment horizontal="center"/>
    </xf>
    <xf numFmtId="0" fontId="6" fillId="0" borderId="0" xfId="0" applyFont="1" applyBorder="1" applyAlignment="1">
      <alignment horizontal="center" vertical="center"/>
    </xf>
    <xf numFmtId="0" fontId="6" fillId="0" borderId="0" xfId="0" applyFont="1" applyBorder="1" applyAlignment="1">
      <alignment horizontal="center"/>
    </xf>
    <xf numFmtId="0" fontId="7" fillId="0" borderId="0" xfId="0" applyFont="1" applyBorder="1" applyAlignment="1">
      <alignment horizontal="center"/>
    </xf>
    <xf numFmtId="0" fontId="23" fillId="0" borderId="6" xfId="0" applyFont="1" applyBorder="1" applyAlignment="1">
      <alignment horizontal="left" indent="3"/>
    </xf>
    <xf numFmtId="0" fontId="7" fillId="4" borderId="14" xfId="0" applyFont="1" applyFill="1" applyBorder="1" applyAlignment="1"/>
    <xf numFmtId="0" fontId="7" fillId="4" borderId="12" xfId="0" applyFont="1" applyFill="1" applyBorder="1" applyAlignment="1"/>
    <xf numFmtId="0" fontId="23" fillId="0" borderId="5" xfId="0" applyFont="1" applyBorder="1" applyAlignment="1">
      <alignment horizontal="left" indent="3"/>
    </xf>
    <xf numFmtId="0" fontId="21" fillId="3" borderId="6" xfId="0" applyFont="1" applyFill="1" applyBorder="1" applyAlignment="1">
      <alignment horizontal="left" indent="1"/>
    </xf>
    <xf numFmtId="0" fontId="6" fillId="3" borderId="3" xfId="0" applyFont="1" applyFill="1" applyBorder="1" applyAlignment="1">
      <alignment horizontal="center"/>
    </xf>
    <xf numFmtId="0" fontId="6" fillId="3" borderId="14" xfId="0" applyFont="1" applyFill="1" applyBorder="1" applyAlignment="1">
      <alignment horizontal="center"/>
    </xf>
    <xf numFmtId="0" fontId="6" fillId="0" borderId="0" xfId="0" applyFont="1" applyAlignment="1">
      <alignment horizontal="right"/>
    </xf>
    <xf numFmtId="0" fontId="29" fillId="0" borderId="0" xfId="0" applyFont="1" applyFill="1"/>
    <xf numFmtId="0" fontId="23" fillId="0" borderId="6" xfId="0" applyFont="1" applyFill="1" applyBorder="1" applyAlignment="1">
      <alignment horizontal="left" indent="3"/>
    </xf>
    <xf numFmtId="0" fontId="6" fillId="0" borderId="0" xfId="0" applyFont="1" applyFill="1"/>
    <xf numFmtId="0" fontId="23" fillId="0" borderId="18" xfId="0" applyFont="1" applyBorder="1" applyAlignment="1">
      <alignment horizontal="left" indent="2"/>
    </xf>
    <xf numFmtId="0" fontId="7" fillId="4" borderId="6" xfId="0" applyFont="1" applyFill="1" applyBorder="1" applyAlignment="1">
      <alignment horizontal="right" indent="2"/>
    </xf>
    <xf numFmtId="167" fontId="7" fillId="3" borderId="3" xfId="0" applyNumberFormat="1" applyFont="1" applyFill="1" applyBorder="1" applyAlignment="1">
      <alignment horizontal="right"/>
    </xf>
    <xf numFmtId="167" fontId="7" fillId="3" borderId="2" xfId="0" applyNumberFormat="1" applyFont="1" applyFill="1" applyBorder="1" applyAlignment="1">
      <alignment horizontal="right"/>
    </xf>
    <xf numFmtId="0" fontId="7" fillId="3" borderId="6" xfId="0" applyFont="1" applyFill="1" applyBorder="1" applyAlignment="1">
      <alignment horizontal="left" indent="1"/>
    </xf>
    <xf numFmtId="0" fontId="45" fillId="2" borderId="0" xfId="0" applyFont="1" applyFill="1"/>
    <xf numFmtId="0" fontId="51" fillId="0" borderId="0" xfId="0" applyFont="1" applyAlignment="1">
      <alignment horizontal="center" vertical="center"/>
    </xf>
    <xf numFmtId="0" fontId="6" fillId="0" borderId="0" xfId="0" applyFont="1" applyAlignment="1">
      <alignment horizontal="right" vertical="center"/>
    </xf>
    <xf numFmtId="0" fontId="7" fillId="0" borderId="4" xfId="0" applyFont="1" applyBorder="1" applyAlignment="1">
      <alignment horizontal="right" vertical="center"/>
    </xf>
    <xf numFmtId="0" fontId="7" fillId="3" borderId="3" xfId="0" applyFont="1" applyFill="1" applyBorder="1" applyAlignment="1">
      <alignment horizontal="right" vertical="center"/>
    </xf>
    <xf numFmtId="0" fontId="7" fillId="3" borderId="2" xfId="0" applyFont="1" applyFill="1" applyBorder="1" applyAlignment="1">
      <alignment horizontal="right" vertical="center"/>
    </xf>
    <xf numFmtId="0" fontId="23" fillId="0" borderId="1" xfId="0" applyFont="1" applyBorder="1" applyAlignment="1">
      <alignment horizontal="right" vertical="center"/>
    </xf>
    <xf numFmtId="167" fontId="7" fillId="3" borderId="3" xfId="0" applyNumberFormat="1" applyFont="1" applyFill="1" applyBorder="1" applyAlignment="1">
      <alignment horizontal="right" vertical="center"/>
    </xf>
    <xf numFmtId="167" fontId="7" fillId="0" borderId="19" xfId="10" applyNumberFormat="1" applyFont="1" applyFill="1" applyBorder="1" applyAlignment="1">
      <alignment horizontal="right" vertical="center"/>
    </xf>
    <xf numFmtId="0" fontId="6" fillId="0" borderId="0" xfId="0" applyFont="1" applyFill="1" applyAlignment="1">
      <alignment horizontal="right" vertical="center"/>
    </xf>
    <xf numFmtId="4" fontId="7" fillId="0" borderId="19" xfId="10" applyNumberFormat="1" applyFont="1" applyFill="1" applyBorder="1" applyAlignment="1">
      <alignment horizontal="right" vertical="center"/>
    </xf>
    <xf numFmtId="0" fontId="6" fillId="0" borderId="0" xfId="0" applyFont="1" applyFill="1" applyAlignment="1">
      <alignment horizontal="left" vertical="center" indent="1"/>
    </xf>
    <xf numFmtId="3" fontId="6" fillId="8" borderId="1" xfId="10" applyNumberFormat="1" applyFont="1" applyFill="1" applyBorder="1" applyAlignment="1">
      <alignment horizontal="right"/>
    </xf>
    <xf numFmtId="0" fontId="52" fillId="0" borderId="0" xfId="0" applyFont="1"/>
    <xf numFmtId="0" fontId="6" fillId="8" borderId="1" xfId="10" applyNumberFormat="1" applyFont="1" applyFill="1" applyBorder="1" applyAlignment="1">
      <alignment horizontal="right"/>
    </xf>
    <xf numFmtId="9" fontId="6" fillId="8" borderId="1" xfId="11" applyFont="1" applyFill="1" applyBorder="1" applyAlignment="1">
      <alignment horizontal="right"/>
    </xf>
    <xf numFmtId="3" fontId="23" fillId="0" borderId="1" xfId="0" applyNumberFormat="1" applyFont="1" applyBorder="1" applyAlignment="1">
      <alignment horizontal="center"/>
    </xf>
    <xf numFmtId="166" fontId="23" fillId="0" borderId="0" xfId="3" applyNumberFormat="1" applyFont="1"/>
    <xf numFmtId="0" fontId="28" fillId="0" borderId="12" xfId="0" applyFont="1" applyBorder="1" applyAlignment="1">
      <alignment horizontal="center"/>
    </xf>
    <xf numFmtId="166" fontId="21" fillId="0" borderId="1" xfId="3" applyNumberFormat="1" applyFont="1" applyBorder="1" applyAlignment="1">
      <alignment horizontal="center"/>
    </xf>
    <xf numFmtId="0" fontId="7" fillId="0" borderId="4" xfId="0" applyFont="1" applyBorder="1" applyAlignment="1">
      <alignment horizontal="center" vertical="center"/>
    </xf>
    <xf numFmtId="167" fontId="23" fillId="0" borderId="2" xfId="0" applyNumberFormat="1" applyFont="1" applyBorder="1" applyAlignment="1">
      <alignment horizontal="right"/>
    </xf>
    <xf numFmtId="167" fontId="29" fillId="0" borderId="0" xfId="0" applyNumberFormat="1" applyFont="1" applyAlignment="1">
      <alignment horizontal="right"/>
    </xf>
    <xf numFmtId="167" fontId="23" fillId="0" borderId="12" xfId="0" applyNumberFormat="1" applyFont="1" applyBorder="1" applyAlignment="1">
      <alignment horizontal="right"/>
    </xf>
    <xf numFmtId="167" fontId="23" fillId="5" borderId="1" xfId="0" applyNumberFormat="1" applyFont="1" applyFill="1" applyBorder="1" applyAlignment="1">
      <alignment horizontal="right"/>
    </xf>
    <xf numFmtId="0" fontId="23" fillId="0" borderId="1" xfId="0" applyFont="1" applyBorder="1" applyAlignment="1">
      <alignment horizontal="right"/>
    </xf>
    <xf numFmtId="0" fontId="23" fillId="0" borderId="3" xfId="0" applyFont="1" applyBorder="1" applyAlignment="1">
      <alignment horizontal="right"/>
    </xf>
    <xf numFmtId="0" fontId="23" fillId="0" borderId="2" xfId="0" applyFont="1" applyBorder="1" applyAlignment="1">
      <alignment horizontal="right"/>
    </xf>
    <xf numFmtId="167" fontId="23" fillId="0" borderId="8" xfId="0" applyNumberFormat="1" applyFont="1" applyFill="1" applyBorder="1" applyAlignment="1">
      <alignment horizontal="right" vertical="center"/>
    </xf>
    <xf numFmtId="0" fontId="23" fillId="0" borderId="1" xfId="0" applyFont="1" applyFill="1" applyBorder="1" applyAlignment="1">
      <alignment horizontal="left" indent="3"/>
    </xf>
    <xf numFmtId="167" fontId="23" fillId="0" borderId="2" xfId="0" applyNumberFormat="1" applyFont="1" applyFill="1" applyBorder="1" applyAlignment="1">
      <alignment horizontal="right"/>
    </xf>
    <xf numFmtId="167" fontId="23" fillId="0" borderId="1" xfId="0" applyNumberFormat="1" applyFont="1" applyFill="1" applyBorder="1" applyAlignment="1">
      <alignment horizontal="right"/>
    </xf>
    <xf numFmtId="0" fontId="6" fillId="0" borderId="14" xfId="0" applyFont="1" applyFill="1" applyBorder="1" applyAlignment="1">
      <alignment horizontal="center"/>
    </xf>
    <xf numFmtId="0" fontId="23" fillId="0" borderId="6" xfId="0" applyFont="1" applyFill="1" applyBorder="1" applyAlignment="1">
      <alignment horizontal="left" indent="4"/>
    </xf>
    <xf numFmtId="166" fontId="6" fillId="3" borderId="1" xfId="3" applyNumberFormat="1" applyFont="1" applyFill="1" applyBorder="1" applyAlignment="1">
      <alignment horizontal="center" vertical="center"/>
    </xf>
    <xf numFmtId="166" fontId="6" fillId="0" borderId="1" xfId="3" applyNumberFormat="1" applyFont="1" applyFill="1" applyBorder="1" applyAlignment="1">
      <alignment horizontal="center" vertical="center"/>
    </xf>
    <xf numFmtId="0" fontId="23" fillId="0" borderId="1" xfId="0" applyFont="1" applyFill="1" applyBorder="1" applyAlignment="1">
      <alignment horizontal="left" vertical="center" indent="2"/>
    </xf>
    <xf numFmtId="166" fontId="23" fillId="3" borderId="2" xfId="0" applyNumberFormat="1" applyFont="1" applyFill="1" applyBorder="1" applyAlignment="1">
      <alignment horizontal="center" vertical="center"/>
    </xf>
    <xf numFmtId="0" fontId="23" fillId="0" borderId="3" xfId="0" applyFont="1" applyBorder="1" applyAlignment="1">
      <alignment horizontal="center" vertical="center"/>
    </xf>
    <xf numFmtId="0" fontId="23" fillId="0" borderId="2" xfId="0" applyFont="1" applyBorder="1" applyAlignment="1">
      <alignment horizontal="center" vertical="center"/>
    </xf>
    <xf numFmtId="0" fontId="23" fillId="0" borderId="17" xfId="0" applyFont="1" applyBorder="1" applyAlignment="1">
      <alignment horizontal="center" vertical="center"/>
    </xf>
    <xf numFmtId="0" fontId="23" fillId="0" borderId="13" xfId="0" applyFont="1" applyBorder="1" applyAlignment="1">
      <alignment horizontal="center" vertical="center"/>
    </xf>
    <xf numFmtId="166" fontId="23" fillId="0" borderId="2" xfId="3" applyNumberFormat="1" applyFont="1" applyFill="1" applyBorder="1" applyAlignment="1">
      <alignment horizontal="center" vertical="center"/>
    </xf>
    <xf numFmtId="0" fontId="23" fillId="0" borderId="1" xfId="0" applyFont="1" applyBorder="1" applyAlignment="1">
      <alignment horizontal="center" vertical="center"/>
    </xf>
    <xf numFmtId="0" fontId="7" fillId="4" borderId="6" xfId="0" applyFont="1" applyFill="1" applyBorder="1" applyAlignment="1">
      <alignment horizontal="center" vertical="center"/>
    </xf>
    <xf numFmtId="167" fontId="7" fillId="4" borderId="6" xfId="0" applyNumberFormat="1" applyFont="1" applyFill="1" applyBorder="1" applyAlignment="1">
      <alignment horizontal="center" vertical="center"/>
    </xf>
    <xf numFmtId="0" fontId="23" fillId="0" borderId="2" xfId="0" applyFont="1" applyBorder="1" applyAlignment="1">
      <alignment horizontal="right" vertical="center"/>
    </xf>
    <xf numFmtId="0" fontId="23" fillId="0" borderId="3" xfId="0" applyFont="1" applyBorder="1" applyAlignment="1">
      <alignment horizontal="right" vertical="center"/>
    </xf>
    <xf numFmtId="167" fontId="6" fillId="0" borderId="1" xfId="0" applyNumberFormat="1" applyFont="1" applyFill="1" applyBorder="1" applyAlignment="1">
      <alignment horizontal="right" vertical="center"/>
    </xf>
    <xf numFmtId="167" fontId="6" fillId="3" borderId="1" xfId="0" applyNumberFormat="1" applyFont="1" applyFill="1" applyBorder="1" applyAlignment="1">
      <alignment horizontal="right" vertical="center"/>
    </xf>
    <xf numFmtId="0" fontId="7" fillId="5" borderId="1" xfId="0" applyFont="1" applyFill="1" applyBorder="1" applyAlignment="1"/>
    <xf numFmtId="166" fontId="21" fillId="5" borderId="2" xfId="0" applyNumberFormat="1" applyFont="1" applyFill="1" applyBorder="1" applyAlignment="1">
      <alignment horizontal="center" vertical="center"/>
    </xf>
    <xf numFmtId="167" fontId="7" fillId="5" borderId="3" xfId="0" applyNumberFormat="1" applyFont="1" applyFill="1" applyBorder="1" applyAlignment="1">
      <alignment horizontal="right" vertical="center"/>
    </xf>
    <xf numFmtId="167" fontId="7" fillId="5" borderId="2" xfId="0" applyNumberFormat="1" applyFont="1" applyFill="1" applyBorder="1" applyAlignment="1">
      <alignment horizontal="right" vertical="center"/>
    </xf>
    <xf numFmtId="0" fontId="6" fillId="3" borderId="11" xfId="0" applyFont="1" applyFill="1" applyBorder="1" applyAlignment="1">
      <alignment horizontal="center"/>
    </xf>
    <xf numFmtId="0" fontId="6" fillId="2" borderId="0" xfId="0" applyFont="1" applyFill="1" applyAlignment="1">
      <alignment vertical="center"/>
    </xf>
    <xf numFmtId="0" fontId="45" fillId="2" borderId="0" xfId="0" applyFont="1" applyFill="1" applyAlignment="1">
      <alignment horizontal="right" vertical="center"/>
    </xf>
    <xf numFmtId="0" fontId="6" fillId="3" borderId="6" xfId="0" applyFont="1" applyFill="1" applyBorder="1" applyAlignment="1"/>
    <xf numFmtId="0" fontId="6" fillId="3" borderId="14" xfId="0" applyFont="1" applyFill="1" applyBorder="1" applyAlignment="1"/>
    <xf numFmtId="0" fontId="6" fillId="3" borderId="3" xfId="0" applyFont="1" applyFill="1" applyBorder="1" applyAlignment="1">
      <alignment horizontal="center" vertical="center"/>
    </xf>
    <xf numFmtId="167" fontId="23" fillId="0" borderId="2" xfId="3" applyNumberFormat="1" applyFont="1" applyBorder="1" applyAlignment="1">
      <alignment horizontal="center" vertical="center"/>
    </xf>
    <xf numFmtId="167" fontId="23" fillId="0" borderId="2" xfId="3" applyNumberFormat="1" applyFont="1" applyFill="1" applyBorder="1" applyAlignment="1">
      <alignment horizontal="center" vertical="center"/>
    </xf>
    <xf numFmtId="0" fontId="6" fillId="3" borderId="6" xfId="0" applyFont="1" applyFill="1" applyBorder="1" applyAlignment="1">
      <alignment vertical="center"/>
    </xf>
    <xf numFmtId="0" fontId="6" fillId="3" borderId="11" xfId="0" applyFont="1" applyFill="1" applyBorder="1" applyAlignment="1">
      <alignment vertical="center"/>
    </xf>
    <xf numFmtId="167" fontId="23" fillId="3" borderId="2" xfId="3" applyNumberFormat="1" applyFont="1" applyFill="1" applyBorder="1" applyAlignment="1">
      <alignment horizontal="center" vertical="center"/>
    </xf>
    <xf numFmtId="0" fontId="6" fillId="3" borderId="12" xfId="0" applyFont="1" applyFill="1" applyBorder="1" applyAlignment="1">
      <alignment vertical="center"/>
    </xf>
    <xf numFmtId="0" fontId="35" fillId="3" borderId="3" xfId="0" applyFont="1" applyFill="1" applyBorder="1" applyAlignment="1">
      <alignment vertical="center"/>
    </xf>
    <xf numFmtId="0" fontId="23" fillId="0" borderId="11" xfId="0" applyFont="1" applyBorder="1" applyAlignment="1">
      <alignment horizontal="center"/>
    </xf>
    <xf numFmtId="0" fontId="23" fillId="2" borderId="3" xfId="0" applyFont="1" applyFill="1" applyBorder="1" applyAlignment="1">
      <alignment horizontal="left" vertical="center"/>
    </xf>
    <xf numFmtId="0" fontId="23" fillId="2" borderId="2" xfId="0" applyFont="1" applyFill="1" applyBorder="1" applyAlignment="1">
      <alignment horizontal="left" vertical="center"/>
    </xf>
    <xf numFmtId="0" fontId="37" fillId="0" borderId="0" xfId="0" applyFont="1" applyAlignment="1">
      <alignment vertical="center"/>
    </xf>
    <xf numFmtId="0" fontId="37" fillId="0" borderId="0" xfId="0" applyFont="1" applyAlignment="1">
      <alignment horizontal="left" vertical="center"/>
    </xf>
    <xf numFmtId="0" fontId="23" fillId="0" borderId="11" xfId="0" applyFont="1" applyBorder="1" applyAlignment="1">
      <alignment horizontal="left" vertical="center"/>
    </xf>
    <xf numFmtId="0" fontId="39" fillId="0" borderId="0" xfId="0" applyFont="1" applyAlignment="1">
      <alignment horizontal="left" vertical="center"/>
    </xf>
    <xf numFmtId="0" fontId="23" fillId="0" borderId="6" xfId="0" applyFont="1" applyFill="1" applyBorder="1" applyAlignment="1">
      <alignment horizontal="left" vertical="center" indent="1"/>
    </xf>
    <xf numFmtId="0" fontId="23" fillId="0" borderId="14" xfId="0" applyFont="1" applyBorder="1" applyAlignment="1">
      <alignment horizontal="center"/>
    </xf>
    <xf numFmtId="0" fontId="23" fillId="0" borderId="12" xfId="0" applyFont="1" applyBorder="1" applyAlignment="1">
      <alignment horizontal="center"/>
    </xf>
    <xf numFmtId="0" fontId="35" fillId="0" borderId="0" xfId="0" applyFont="1"/>
    <xf numFmtId="167" fontId="23" fillId="0" borderId="1" xfId="0" applyNumberFormat="1" applyFont="1" applyFill="1" applyBorder="1" applyAlignment="1">
      <alignment horizontal="right" vertical="center"/>
    </xf>
    <xf numFmtId="0" fontId="27" fillId="0" borderId="0" xfId="0" applyFont="1" applyAlignment="1">
      <alignment horizontal="center" vertical="center"/>
    </xf>
    <xf numFmtId="0" fontId="6" fillId="0" borderId="1" xfId="10" applyFont="1" applyBorder="1" applyAlignment="1">
      <alignment horizontal="left" vertical="center" indent="2"/>
    </xf>
    <xf numFmtId="0" fontId="12" fillId="0" borderId="0" xfId="0" applyFont="1" applyAlignment="1">
      <alignment horizontal="left" vertical="center" indent="1"/>
    </xf>
    <xf numFmtId="0" fontId="38" fillId="4" borderId="1" xfId="0" applyFont="1" applyFill="1" applyBorder="1" applyAlignment="1">
      <alignment horizontal="left" vertical="center" indent="1"/>
    </xf>
    <xf numFmtId="0" fontId="58" fillId="4" borderId="1" xfId="0" applyFont="1" applyFill="1" applyBorder="1" applyAlignment="1">
      <alignment horizontal="center" vertical="center"/>
    </xf>
    <xf numFmtId="0" fontId="38" fillId="4" borderId="1" xfId="0" applyFont="1" applyFill="1" applyBorder="1" applyAlignment="1">
      <alignment horizontal="center" vertical="center"/>
    </xf>
    <xf numFmtId="167" fontId="38" fillId="4" borderId="1" xfId="0" applyNumberFormat="1" applyFont="1" applyFill="1" applyBorder="1" applyAlignment="1">
      <alignment horizontal="center" vertical="center"/>
    </xf>
    <xf numFmtId="0" fontId="38" fillId="3" borderId="1" xfId="0" applyFont="1" applyFill="1" applyBorder="1" applyAlignment="1">
      <alignment horizontal="left" vertical="center" indent="2"/>
    </xf>
    <xf numFmtId="1" fontId="38" fillId="3" borderId="1" xfId="0" applyNumberFormat="1" applyFont="1" applyFill="1" applyBorder="1" applyAlignment="1">
      <alignment horizontal="center" vertical="center"/>
    </xf>
    <xf numFmtId="167" fontId="38" fillId="3" borderId="1" xfId="0" applyNumberFormat="1" applyFont="1" applyFill="1" applyBorder="1" applyAlignment="1">
      <alignment horizontal="center" vertical="center"/>
    </xf>
    <xf numFmtId="0" fontId="38" fillId="3" borderId="1" xfId="0" applyFont="1" applyFill="1" applyBorder="1" applyAlignment="1">
      <alignment horizontal="left" indent="3"/>
    </xf>
    <xf numFmtId="1" fontId="38" fillId="3" borderId="1" xfId="0" applyNumberFormat="1" applyFont="1" applyFill="1" applyBorder="1" applyAlignment="1">
      <alignment horizontal="center"/>
    </xf>
    <xf numFmtId="167" fontId="38" fillId="3" borderId="1" xfId="0" applyNumberFormat="1" applyFont="1" applyFill="1" applyBorder="1" applyAlignment="1">
      <alignment horizontal="center"/>
    </xf>
    <xf numFmtId="0" fontId="37" fillId="0" borderId="1" xfId="0" applyFont="1" applyBorder="1" applyAlignment="1">
      <alignment horizontal="left" indent="4"/>
    </xf>
    <xf numFmtId="1" fontId="37" fillId="0" borderId="1" xfId="0" applyNumberFormat="1" applyFont="1" applyBorder="1" applyAlignment="1">
      <alignment horizontal="center"/>
    </xf>
    <xf numFmtId="0" fontId="37" fillId="0" borderId="1" xfId="0" applyFont="1" applyBorder="1" applyAlignment="1">
      <alignment horizontal="left" indent="3"/>
    </xf>
    <xf numFmtId="0" fontId="7" fillId="3" borderId="5" xfId="0" applyFont="1" applyFill="1" applyBorder="1" applyAlignment="1">
      <alignment vertical="center"/>
    </xf>
    <xf numFmtId="0" fontId="7" fillId="3" borderId="20" xfId="0" applyFont="1" applyFill="1" applyBorder="1" applyAlignment="1">
      <alignment vertical="center"/>
    </xf>
    <xf numFmtId="0" fontId="46" fillId="0" borderId="0" xfId="0" applyFont="1" applyAlignment="1">
      <alignment horizontal="right"/>
    </xf>
    <xf numFmtId="0" fontId="59" fillId="0" borderId="0" xfId="0" applyFont="1" applyAlignment="1">
      <alignment horizontal="right" vertical="center"/>
    </xf>
    <xf numFmtId="166" fontId="26" fillId="3" borderId="3" xfId="3" applyNumberFormat="1" applyFont="1" applyFill="1" applyBorder="1" applyAlignment="1">
      <alignment horizontal="center" vertical="center"/>
    </xf>
    <xf numFmtId="0" fontId="58" fillId="0" borderId="0" xfId="0" applyFont="1" applyAlignment="1">
      <alignment horizontal="left" vertical="center" indent="1"/>
    </xf>
    <xf numFmtId="0" fontId="37" fillId="0" borderId="1" xfId="0" applyFont="1" applyFill="1" applyBorder="1" applyAlignment="1">
      <alignment horizontal="left" vertical="center" indent="1"/>
    </xf>
    <xf numFmtId="0" fontId="37" fillId="0" borderId="11" xfId="0" applyFont="1" applyFill="1" applyBorder="1" applyAlignment="1">
      <alignment horizontal="center" vertical="center"/>
    </xf>
    <xf numFmtId="167" fontId="37" fillId="0" borderId="1" xfId="0" applyNumberFormat="1" applyFont="1" applyFill="1" applyBorder="1" applyAlignment="1">
      <alignment horizontal="right" vertical="center" indent="1"/>
    </xf>
    <xf numFmtId="0" fontId="34" fillId="0" borderId="0" xfId="0" applyFont="1" applyBorder="1" applyAlignment="1">
      <alignment horizontal="center" vertical="center"/>
    </xf>
    <xf numFmtId="0" fontId="6" fillId="0" borderId="0" xfId="0" applyFont="1" applyAlignment="1">
      <alignment horizontal="left" vertical="center"/>
    </xf>
    <xf numFmtId="0" fontId="29" fillId="0" borderId="0" xfId="0" applyFont="1" applyAlignment="1">
      <alignment horizontal="left" vertical="center"/>
    </xf>
    <xf numFmtId="0" fontId="35" fillId="0" borderId="0" xfId="0" applyFont="1" applyAlignment="1">
      <alignment vertical="center"/>
    </xf>
    <xf numFmtId="0" fontId="28" fillId="0" borderId="0" xfId="0" applyFont="1" applyAlignment="1">
      <alignment horizontal="center"/>
    </xf>
    <xf numFmtId="0" fontId="28" fillId="0" borderId="0" xfId="0" applyFont="1" applyAlignment="1">
      <alignment horizontal="left"/>
    </xf>
    <xf numFmtId="0" fontId="28" fillId="0" borderId="0" xfId="0" applyFont="1" applyAlignment="1">
      <alignment horizontal="center" vertical="center"/>
    </xf>
    <xf numFmtId="0" fontId="28" fillId="0" borderId="0" xfId="0" applyFont="1" applyAlignment="1">
      <alignment vertical="center"/>
    </xf>
    <xf numFmtId="0" fontId="35" fillId="0" borderId="0" xfId="0" applyFont="1" applyFill="1"/>
    <xf numFmtId="0" fontId="6" fillId="0" borderId="0" xfId="0" applyFont="1" applyFill="1" applyAlignment="1">
      <alignment horizontal="left" vertical="center" wrapText="1"/>
    </xf>
    <xf numFmtId="0" fontId="45" fillId="0" borderId="0" xfId="0" applyFont="1" applyAlignment="1">
      <alignment horizontal="left"/>
    </xf>
    <xf numFmtId="0" fontId="51" fillId="0" borderId="0" xfId="0" applyFont="1" applyAlignment="1">
      <alignment horizontal="left" vertical="center"/>
    </xf>
    <xf numFmtId="0" fontId="35" fillId="0" borderId="0" xfId="0" applyFont="1" applyFill="1" applyAlignment="1">
      <alignment horizontal="left"/>
    </xf>
    <xf numFmtId="0" fontId="61" fillId="0" borderId="0" xfId="0" applyFont="1" applyAlignment="1">
      <alignment horizontal="left" vertical="center"/>
    </xf>
    <xf numFmtId="0" fontId="61" fillId="0" borderId="0" xfId="0" applyFont="1"/>
    <xf numFmtId="0" fontId="57" fillId="0" borderId="0" xfId="0" applyFont="1" applyAlignment="1">
      <alignment vertical="center"/>
    </xf>
    <xf numFmtId="0" fontId="29" fillId="0" borderId="0" xfId="0" applyFont="1" applyAlignment="1">
      <alignment horizontal="right"/>
    </xf>
    <xf numFmtId="0" fontId="63" fillId="0" borderId="0" xfId="0" applyFont="1" applyAlignment="1">
      <alignment horizontal="right"/>
    </xf>
    <xf numFmtId="0" fontId="20" fillId="0" borderId="0" xfId="0" applyFont="1" applyAlignment="1">
      <alignment horizontal="right"/>
    </xf>
    <xf numFmtId="0" fontId="29" fillId="0" borderId="0" xfId="0" applyFont="1" applyAlignment="1">
      <alignment horizontal="right" vertical="center"/>
    </xf>
    <xf numFmtId="10" fontId="29" fillId="0" borderId="0" xfId="0" applyNumberFormat="1" applyFont="1" applyAlignment="1">
      <alignment horizontal="right"/>
    </xf>
    <xf numFmtId="0" fontId="43" fillId="0" borderId="0" xfId="0" applyFont="1" applyAlignment="1">
      <alignment horizontal="right"/>
    </xf>
    <xf numFmtId="0" fontId="20" fillId="0" borderId="0" xfId="0" applyFont="1" applyAlignment="1">
      <alignment horizontal="right" vertical="center"/>
    </xf>
    <xf numFmtId="0" fontId="29" fillId="0" borderId="0" xfId="0" applyFont="1" applyFill="1" applyAlignment="1">
      <alignment horizontal="right" vertical="center"/>
    </xf>
    <xf numFmtId="0" fontId="35" fillId="0" borderId="0" xfId="0" applyFont="1" applyAlignment="1">
      <alignment horizontal="right" vertical="center"/>
    </xf>
    <xf numFmtId="0" fontId="35" fillId="0" borderId="0" xfId="0" applyFont="1" applyAlignment="1">
      <alignment horizontal="right"/>
    </xf>
    <xf numFmtId="0" fontId="20" fillId="0" borderId="0" xfId="0" applyFont="1" applyFill="1" applyBorder="1" applyAlignment="1">
      <alignment horizontal="right" vertical="center"/>
    </xf>
    <xf numFmtId="0" fontId="29" fillId="0" borderId="0" xfId="0" applyFont="1" applyFill="1" applyBorder="1" applyAlignment="1">
      <alignment horizontal="right"/>
    </xf>
    <xf numFmtId="0" fontId="20" fillId="0" borderId="0" xfId="0" applyFont="1" applyFill="1" applyBorder="1" applyAlignment="1">
      <alignment horizontal="right"/>
    </xf>
    <xf numFmtId="0" fontId="29" fillId="0" borderId="0" xfId="0" applyFont="1" applyFill="1" applyBorder="1" applyAlignment="1">
      <alignment horizontal="right" vertical="center"/>
    </xf>
    <xf numFmtId="0" fontId="63" fillId="0" borderId="0" xfId="0" applyFont="1" applyAlignment="1">
      <alignment horizontal="right" vertical="center"/>
    </xf>
    <xf numFmtId="0" fontId="64" fillId="0" borderId="0" xfId="0" applyFont="1" applyAlignment="1">
      <alignment horizontal="right"/>
    </xf>
    <xf numFmtId="0" fontId="29" fillId="0" borderId="0" xfId="0" applyFont="1" applyFill="1" applyAlignment="1">
      <alignment horizontal="right"/>
    </xf>
    <xf numFmtId="0" fontId="61" fillId="0" borderId="0" xfId="0" applyFont="1" applyAlignment="1">
      <alignment horizontal="center" vertical="center"/>
    </xf>
    <xf numFmtId="166" fontId="23" fillId="0" borderId="1" xfId="3" applyNumberFormat="1" applyFont="1" applyBorder="1" applyAlignment="1">
      <alignment horizontal="right" vertical="center"/>
    </xf>
    <xf numFmtId="0" fontId="40" fillId="0" borderId="14" xfId="0" applyFont="1" applyBorder="1" applyAlignment="1">
      <alignment horizontal="center"/>
    </xf>
    <xf numFmtId="0" fontId="23" fillId="0" borderId="1" xfId="0" quotePrefix="1" applyFont="1" applyBorder="1" applyAlignment="1">
      <alignment horizontal="left" vertical="center"/>
    </xf>
    <xf numFmtId="0" fontId="6" fillId="0" borderId="0" xfId="10" applyFont="1" applyAlignment="1">
      <alignment vertical="center"/>
    </xf>
    <xf numFmtId="0" fontId="23" fillId="0" borderId="12" xfId="0" quotePrefix="1" applyFont="1" applyBorder="1" applyAlignment="1">
      <alignment horizontal="left" vertical="center"/>
    </xf>
    <xf numFmtId="167" fontId="7" fillId="3" borderId="2" xfId="0" applyNumberFormat="1" applyFont="1" applyFill="1" applyBorder="1" applyAlignment="1">
      <alignment horizontal="right" vertical="center"/>
    </xf>
    <xf numFmtId="167" fontId="7" fillId="0" borderId="2" xfId="0" applyNumberFormat="1" applyFont="1" applyFill="1" applyBorder="1" applyAlignment="1">
      <alignment horizontal="right" vertical="center"/>
    </xf>
    <xf numFmtId="0" fontId="23" fillId="0" borderId="6" xfId="0" quotePrefix="1" applyFont="1" applyBorder="1" applyAlignment="1">
      <alignment horizontal="left" vertical="center"/>
    </xf>
    <xf numFmtId="0" fontId="23" fillId="0" borderId="6" xfId="0" applyFont="1" applyBorder="1" applyAlignment="1">
      <alignment horizontal="left" vertical="center"/>
    </xf>
    <xf numFmtId="0" fontId="21" fillId="3" borderId="6" xfId="0" applyFont="1" applyFill="1" applyBorder="1" applyAlignment="1">
      <alignment horizontal="left" vertical="center"/>
    </xf>
    <xf numFmtId="167" fontId="23" fillId="0" borderId="2" xfId="0" applyNumberFormat="1" applyFont="1" applyBorder="1" applyAlignment="1">
      <alignment horizontal="right" vertical="center"/>
    </xf>
    <xf numFmtId="0" fontId="6" fillId="9" borderId="14" xfId="0" applyFont="1" applyFill="1" applyBorder="1" applyAlignment="1">
      <alignment horizontal="center"/>
    </xf>
    <xf numFmtId="0" fontId="6" fillId="9" borderId="11" xfId="0" applyFont="1" applyFill="1" applyBorder="1" applyAlignment="1">
      <alignment horizontal="center"/>
    </xf>
    <xf numFmtId="0" fontId="40" fillId="9" borderId="11" xfId="0" applyFont="1" applyFill="1" applyBorder="1" applyAlignment="1">
      <alignment horizontal="center"/>
    </xf>
    <xf numFmtId="167" fontId="21" fillId="3" borderId="2" xfId="0" applyNumberFormat="1" applyFont="1" applyFill="1" applyBorder="1" applyAlignment="1">
      <alignment horizontal="right" vertical="center"/>
    </xf>
    <xf numFmtId="167" fontId="21" fillId="3" borderId="1" xfId="0" applyNumberFormat="1" applyFont="1" applyFill="1" applyBorder="1" applyAlignment="1">
      <alignment horizontal="right" vertical="center"/>
    </xf>
    <xf numFmtId="0" fontId="51" fillId="0" borderId="0" xfId="10" applyFont="1" applyAlignment="1">
      <alignment vertical="center"/>
    </xf>
    <xf numFmtId="0" fontId="51" fillId="0" borderId="0" xfId="10" applyFont="1"/>
    <xf numFmtId="4" fontId="65" fillId="0" borderId="0" xfId="0" applyNumberFormat="1" applyFont="1" applyAlignment="1">
      <alignment horizontal="center" vertical="center"/>
    </xf>
    <xf numFmtId="0" fontId="51" fillId="0" borderId="0" xfId="0" applyFont="1"/>
    <xf numFmtId="0" fontId="6" fillId="8" borderId="23" xfId="0" applyFont="1" applyFill="1" applyBorder="1"/>
    <xf numFmtId="0" fontId="6" fillId="0" borderId="0" xfId="10" applyFont="1" applyFill="1" applyBorder="1" applyAlignment="1">
      <alignment vertical="center"/>
    </xf>
    <xf numFmtId="0" fontId="6" fillId="0" borderId="0" xfId="10" applyFont="1" applyFill="1" applyBorder="1"/>
    <xf numFmtId="0" fontId="6" fillId="0" borderId="0" xfId="0" applyFont="1" applyFill="1" applyBorder="1" applyAlignment="1">
      <alignment horizontal="right" vertical="center"/>
    </xf>
    <xf numFmtId="0" fontId="7" fillId="0" borderId="0" xfId="0" applyFont="1" applyFill="1" applyBorder="1" applyAlignment="1"/>
    <xf numFmtId="0" fontId="7" fillId="0" borderId="0" xfId="0" applyFont="1" applyFill="1" applyBorder="1" applyAlignment="1">
      <alignment horizontal="right" vertical="center"/>
    </xf>
    <xf numFmtId="0" fontId="6" fillId="0" borderId="0" xfId="0" applyFont="1" applyFill="1" applyBorder="1" applyAlignment="1">
      <alignment vertical="center"/>
    </xf>
    <xf numFmtId="0" fontId="23" fillId="0" borderId="0" xfId="0" applyFont="1" applyFill="1" applyBorder="1" applyAlignment="1">
      <alignment horizontal="right" vertical="center"/>
    </xf>
    <xf numFmtId="0" fontId="7" fillId="0" borderId="0" xfId="0" applyFont="1" applyFill="1" applyBorder="1" applyAlignment="1">
      <alignment vertical="center"/>
    </xf>
    <xf numFmtId="0" fontId="23" fillId="0" borderId="0" xfId="0" applyFont="1" applyFill="1" applyBorder="1" applyAlignment="1">
      <alignment horizontal="left" vertical="center"/>
    </xf>
    <xf numFmtId="0" fontId="7" fillId="0" borderId="0" xfId="10" applyFont="1" applyFill="1" applyBorder="1" applyAlignment="1">
      <alignment horizontal="left" vertical="center"/>
    </xf>
    <xf numFmtId="0" fontId="35" fillId="0" borderId="0" xfId="0" applyFont="1" applyFill="1" applyBorder="1" applyAlignment="1">
      <alignment horizontal="right" vertical="center"/>
    </xf>
    <xf numFmtId="167" fontId="7" fillId="0" borderId="24" xfId="10" applyNumberFormat="1" applyFont="1" applyFill="1" applyBorder="1" applyAlignment="1">
      <alignment horizontal="right" vertical="center"/>
    </xf>
    <xf numFmtId="0" fontId="7" fillId="8" borderId="25" xfId="10" applyFont="1" applyFill="1" applyBorder="1" applyAlignment="1">
      <alignment horizontal="left" vertical="center"/>
    </xf>
    <xf numFmtId="0" fontId="6" fillId="8" borderId="25" xfId="0" applyFont="1" applyFill="1" applyBorder="1"/>
    <xf numFmtId="4" fontId="7" fillId="0" borderId="25" xfId="10" applyNumberFormat="1" applyFont="1" applyFill="1" applyBorder="1" applyAlignment="1">
      <alignment horizontal="right" vertical="center"/>
    </xf>
    <xf numFmtId="0" fontId="7" fillId="3" borderId="6" xfId="10" applyFont="1" applyFill="1" applyBorder="1" applyAlignment="1">
      <alignment horizontal="left" vertical="center" indent="2"/>
    </xf>
    <xf numFmtId="0" fontId="6" fillId="0" borderId="0" xfId="0" applyFont="1" applyFill="1" applyAlignment="1">
      <alignment horizontal="left"/>
    </xf>
    <xf numFmtId="0" fontId="66" fillId="0" borderId="0" xfId="0" applyFont="1" applyAlignment="1">
      <alignment horizontal="left" vertical="center"/>
    </xf>
    <xf numFmtId="0" fontId="67" fillId="0" borderId="0" xfId="0" applyFont="1" applyFill="1" applyBorder="1"/>
    <xf numFmtId="0" fontId="67" fillId="0" borderId="0" xfId="0" applyFont="1" applyFill="1" applyBorder="1" applyAlignment="1">
      <alignment vertical="center"/>
    </xf>
    <xf numFmtId="0" fontId="66" fillId="0" borderId="0" xfId="0" applyFont="1" applyFill="1" applyAlignment="1">
      <alignment horizontal="left" vertical="center" indent="1"/>
    </xf>
    <xf numFmtId="0" fontId="6" fillId="0" borderId="0" xfId="0" applyFont="1" applyFill="1" applyAlignment="1">
      <alignment vertical="center" wrapText="1"/>
    </xf>
    <xf numFmtId="0" fontId="35" fillId="0" borderId="0" xfId="0" applyFont="1" applyFill="1" applyAlignment="1">
      <alignment horizontal="right" vertical="center"/>
    </xf>
    <xf numFmtId="9" fontId="23" fillId="0" borderId="0" xfId="0" applyNumberFormat="1" applyFont="1" applyFill="1" applyAlignment="1">
      <alignment horizontal="center" vertical="center"/>
    </xf>
    <xf numFmtId="0" fontId="61" fillId="0" borderId="0" xfId="0" applyFont="1" applyFill="1" applyAlignment="1">
      <alignment horizontal="left" vertical="center" indent="1"/>
    </xf>
    <xf numFmtId="0" fontId="68" fillId="0" borderId="0" xfId="0" applyFont="1" applyAlignment="1">
      <alignment horizontal="center" vertical="center"/>
    </xf>
    <xf numFmtId="0" fontId="58" fillId="0" borderId="0" xfId="0" applyFont="1" applyFill="1" applyAlignment="1">
      <alignment horizontal="left" vertical="center" indent="1"/>
    </xf>
    <xf numFmtId="0" fontId="61" fillId="0" borderId="0" xfId="0" applyFont="1" applyFill="1" applyAlignment="1">
      <alignment horizontal="left" vertical="center"/>
    </xf>
    <xf numFmtId="43" fontId="6" fillId="0" borderId="0" xfId="3" applyFont="1" applyAlignment="1">
      <alignment horizontal="center"/>
    </xf>
    <xf numFmtId="3" fontId="7" fillId="0" borderId="25" xfId="10" applyNumberFormat="1" applyFont="1" applyFill="1" applyBorder="1" applyAlignment="1">
      <alignment horizontal="right" vertical="center"/>
    </xf>
    <xf numFmtId="0" fontId="6" fillId="0" borderId="0" xfId="0" applyFont="1" applyFill="1" applyBorder="1" applyAlignment="1">
      <alignment horizontal="left" vertical="center" indent="1"/>
    </xf>
    <xf numFmtId="0" fontId="7" fillId="0" borderId="26" xfId="10" applyFont="1" applyFill="1" applyBorder="1" applyAlignment="1">
      <alignment horizontal="left" vertical="center"/>
    </xf>
    <xf numFmtId="0" fontId="7" fillId="0" borderId="6" xfId="0" applyFont="1" applyFill="1" applyBorder="1" applyAlignment="1">
      <alignment vertical="center"/>
    </xf>
    <xf numFmtId="3" fontId="7" fillId="0" borderId="27" xfId="10" applyNumberFormat="1" applyFont="1" applyFill="1" applyBorder="1" applyAlignment="1">
      <alignment horizontal="right" vertical="center"/>
    </xf>
    <xf numFmtId="4" fontId="7" fillId="0" borderId="28" xfId="10" applyNumberFormat="1" applyFont="1" applyFill="1" applyBorder="1" applyAlignment="1">
      <alignment horizontal="right" vertical="center"/>
    </xf>
    <xf numFmtId="0" fontId="7" fillId="0" borderId="29" xfId="10" applyFont="1" applyFill="1" applyBorder="1" applyAlignment="1">
      <alignment horizontal="left" vertical="center"/>
    </xf>
    <xf numFmtId="0" fontId="6" fillId="9" borderId="30" xfId="0" applyFont="1" applyFill="1" applyBorder="1" applyAlignment="1">
      <alignment horizontal="center"/>
    </xf>
    <xf numFmtId="4" fontId="7" fillId="0" borderId="31" xfId="10" applyNumberFormat="1" applyFont="1" applyFill="1" applyBorder="1" applyAlignment="1">
      <alignment horizontal="right" vertical="center"/>
    </xf>
    <xf numFmtId="3" fontId="7" fillId="0" borderId="19" xfId="10" applyNumberFormat="1" applyFont="1" applyFill="1" applyBorder="1" applyAlignment="1">
      <alignment horizontal="right" vertical="center"/>
    </xf>
    <xf numFmtId="0" fontId="69" fillId="0" borderId="0" xfId="0" applyFont="1"/>
    <xf numFmtId="0" fontId="69" fillId="0" borderId="0" xfId="0" applyFont="1" applyAlignment="1">
      <alignment horizontal="right" vertical="center"/>
    </xf>
    <xf numFmtId="0" fontId="4" fillId="0" borderId="32" xfId="0" applyFont="1" applyFill="1" applyBorder="1" applyAlignment="1">
      <alignment vertical="center" wrapText="1"/>
    </xf>
    <xf numFmtId="0" fontId="4" fillId="0" borderId="0" xfId="0" applyFont="1" applyFill="1" applyAlignment="1">
      <alignment vertical="center" wrapText="1"/>
    </xf>
    <xf numFmtId="0" fontId="62" fillId="0" borderId="33" xfId="0" applyFont="1" applyFill="1" applyBorder="1" applyAlignment="1">
      <alignment vertical="center" wrapText="1"/>
    </xf>
    <xf numFmtId="0" fontId="62" fillId="0" borderId="33" xfId="0" applyFont="1" applyFill="1" applyBorder="1" applyAlignment="1">
      <alignment vertical="center"/>
    </xf>
    <xf numFmtId="0" fontId="7" fillId="3" borderId="2" xfId="0" applyFont="1" applyFill="1" applyBorder="1" applyAlignment="1">
      <alignment horizontal="center" vertical="center"/>
    </xf>
    <xf numFmtId="167" fontId="23" fillId="0" borderId="2" xfId="0" applyNumberFormat="1" applyFont="1" applyFill="1" applyBorder="1" applyAlignment="1">
      <alignment horizontal="right" vertical="center"/>
    </xf>
    <xf numFmtId="166" fontId="23" fillId="0" borderId="1" xfId="3" applyNumberFormat="1" applyFont="1" applyFill="1" applyBorder="1" applyAlignment="1">
      <alignment horizontal="right" vertical="center"/>
    </xf>
    <xf numFmtId="0" fontId="23" fillId="0" borderId="6" xfId="0" applyFont="1" applyFill="1" applyBorder="1" applyAlignment="1">
      <alignment horizontal="left" vertical="center"/>
    </xf>
    <xf numFmtId="0" fontId="23" fillId="0" borderId="2" xfId="0" applyFont="1" applyFill="1" applyBorder="1" applyAlignment="1">
      <alignment horizontal="right" vertical="center"/>
    </xf>
    <xf numFmtId="0" fontId="23" fillId="0" borderId="1" xfId="0" applyFont="1" applyFill="1" applyBorder="1" applyAlignment="1">
      <alignment horizontal="right" vertical="center"/>
    </xf>
    <xf numFmtId="0" fontId="29" fillId="0" borderId="0" xfId="0" applyFont="1" applyFill="1" applyAlignment="1">
      <alignment vertical="center"/>
    </xf>
    <xf numFmtId="167" fontId="6" fillId="3" borderId="3" xfId="0" applyNumberFormat="1" applyFont="1" applyFill="1" applyBorder="1" applyAlignment="1">
      <alignment horizontal="right" vertical="center"/>
    </xf>
    <xf numFmtId="167" fontId="23" fillId="3" borderId="3" xfId="0" applyNumberFormat="1" applyFont="1" applyFill="1" applyBorder="1" applyAlignment="1">
      <alignment horizontal="right" vertical="center"/>
    </xf>
    <xf numFmtId="43" fontId="37" fillId="0" borderId="2" xfId="3" applyFont="1" applyFill="1" applyBorder="1" applyAlignment="1">
      <alignment horizontal="center" vertical="center"/>
    </xf>
    <xf numFmtId="0" fontId="6" fillId="9" borderId="0" xfId="0" applyFont="1" applyFill="1" applyBorder="1" applyAlignment="1">
      <alignment horizontal="center"/>
    </xf>
    <xf numFmtId="0" fontId="7" fillId="0" borderId="25" xfId="10" applyFont="1" applyFill="1" applyBorder="1" applyAlignment="1">
      <alignment horizontal="left" vertical="center"/>
    </xf>
    <xf numFmtId="9" fontId="23" fillId="0" borderId="1" xfId="11" applyFont="1" applyFill="1" applyBorder="1" applyAlignment="1">
      <alignment horizontal="right" vertical="center"/>
    </xf>
    <xf numFmtId="0" fontId="35" fillId="0" borderId="0" xfId="0" applyFont="1" applyFill="1" applyAlignment="1">
      <alignment vertical="center"/>
    </xf>
    <xf numFmtId="169" fontId="23" fillId="0" borderId="1" xfId="0" applyNumberFormat="1" applyFont="1" applyFill="1" applyBorder="1" applyAlignment="1">
      <alignment horizontal="right" vertical="center"/>
    </xf>
    <xf numFmtId="0" fontId="39" fillId="0" borderId="0" xfId="0" applyFont="1" applyFill="1" applyAlignment="1">
      <alignment vertical="center"/>
    </xf>
    <xf numFmtId="167" fontId="23" fillId="0" borderId="1" xfId="0" applyNumberFormat="1" applyFont="1" applyFill="1" applyBorder="1" applyAlignment="1">
      <alignment vertical="center"/>
    </xf>
    <xf numFmtId="9" fontId="23" fillId="0" borderId="1" xfId="11" applyFont="1" applyFill="1" applyBorder="1" applyAlignment="1">
      <alignment vertical="center"/>
    </xf>
    <xf numFmtId="168" fontId="23" fillId="0" borderId="1" xfId="0" applyNumberFormat="1" applyFont="1" applyFill="1" applyBorder="1" applyAlignment="1">
      <alignment vertical="center"/>
    </xf>
    <xf numFmtId="0" fontId="41" fillId="0" borderId="0" xfId="0" applyFont="1" applyAlignment="1">
      <alignment horizontal="left" vertical="center"/>
    </xf>
    <xf numFmtId="0" fontId="58" fillId="0" borderId="0" xfId="0" applyFont="1" applyAlignment="1">
      <alignment horizontal="center" wrapText="1"/>
    </xf>
    <xf numFmtId="3" fontId="7" fillId="0" borderId="0" xfId="10" applyNumberFormat="1" applyFont="1" applyFill="1" applyBorder="1" applyAlignment="1">
      <alignment horizontal="right" vertical="center"/>
    </xf>
    <xf numFmtId="167" fontId="26" fillId="3" borderId="1" xfId="0" applyNumberFormat="1" applyFont="1" applyFill="1" applyBorder="1" applyAlignment="1">
      <alignment horizontal="center" vertical="center"/>
    </xf>
    <xf numFmtId="0" fontId="4" fillId="0" borderId="0" xfId="0" applyFont="1" applyFill="1"/>
    <xf numFmtId="167" fontId="23" fillId="0" borderId="0" xfId="0" applyNumberFormat="1" applyFont="1" applyFill="1" applyBorder="1" applyAlignment="1">
      <alignment horizontal="right" vertical="center"/>
    </xf>
    <xf numFmtId="0" fontId="40" fillId="0" borderId="0" xfId="0" quotePrefix="1" applyFont="1" applyFill="1" applyAlignment="1">
      <alignment horizontal="center" vertical="center"/>
    </xf>
    <xf numFmtId="0" fontId="24" fillId="0" borderId="0" xfId="0" applyFont="1" applyFill="1"/>
    <xf numFmtId="167" fontId="6" fillId="0" borderId="0" xfId="0" applyNumberFormat="1" applyFont="1"/>
    <xf numFmtId="0" fontId="40" fillId="0" borderId="0" xfId="0" applyFont="1" applyFill="1" applyAlignment="1">
      <alignment horizontal="center" vertical="center"/>
    </xf>
    <xf numFmtId="0" fontId="7" fillId="0" borderId="0" xfId="0" applyFont="1" applyFill="1" applyBorder="1" applyAlignment="1">
      <alignment horizontal="right" vertical="center" indent="1"/>
    </xf>
    <xf numFmtId="0" fontId="24" fillId="0" borderId="0" xfId="0" applyFont="1" applyFill="1" applyAlignment="1">
      <alignment horizontal="left" vertical="center" indent="1"/>
    </xf>
    <xf numFmtId="0" fontId="37" fillId="0" borderId="0" xfId="0" applyFont="1" applyAlignment="1">
      <alignment vertical="center" wrapText="1"/>
    </xf>
    <xf numFmtId="0" fontId="21" fillId="7" borderId="6" xfId="0" applyFont="1" applyFill="1" applyBorder="1" applyAlignment="1">
      <alignment horizontal="right" vertical="center" indent="1"/>
    </xf>
    <xf numFmtId="0" fontId="21" fillId="3" borderId="6" xfId="0" applyFont="1" applyFill="1" applyBorder="1" applyAlignment="1">
      <alignment horizontal="right" vertical="center" indent="1"/>
    </xf>
    <xf numFmtId="0" fontId="23" fillId="0" borderId="1" xfId="0" applyFont="1" applyFill="1" applyBorder="1" applyAlignment="1">
      <alignment horizontal="left" vertical="center" indent="1"/>
    </xf>
    <xf numFmtId="0" fontId="72" fillId="2" borderId="0" xfId="0" applyFont="1" applyFill="1" applyAlignment="1">
      <alignment horizontal="left" indent="1"/>
    </xf>
    <xf numFmtId="0" fontId="18" fillId="0" borderId="0" xfId="0" applyFont="1" applyAlignment="1">
      <alignment horizontal="right" vertical="center"/>
    </xf>
    <xf numFmtId="0" fontId="21" fillId="3" borderId="6" xfId="0" applyFont="1" applyFill="1" applyBorder="1" applyAlignment="1">
      <alignment horizontal="left" vertical="center" indent="1"/>
    </xf>
    <xf numFmtId="166" fontId="21" fillId="3" borderId="1" xfId="3" applyNumberFormat="1" applyFont="1" applyFill="1" applyBorder="1" applyAlignment="1">
      <alignment horizontal="center" vertical="center"/>
    </xf>
    <xf numFmtId="0" fontId="7" fillId="0" borderId="14" xfId="0" applyFont="1" applyFill="1" applyBorder="1"/>
    <xf numFmtId="0" fontId="7" fillId="0" borderId="11" xfId="0" applyFont="1" applyFill="1" applyBorder="1"/>
    <xf numFmtId="167" fontId="21" fillId="0" borderId="11" xfId="0" applyNumberFormat="1" applyFont="1" applyFill="1" applyBorder="1" applyAlignment="1">
      <alignment horizontal="right" vertical="center"/>
    </xf>
    <xf numFmtId="0" fontId="6" fillId="0" borderId="11" xfId="0" applyFont="1" applyFill="1" applyBorder="1"/>
    <xf numFmtId="167" fontId="23" fillId="0" borderId="11" xfId="0" applyNumberFormat="1" applyFont="1" applyFill="1" applyBorder="1" applyAlignment="1">
      <alignment horizontal="right" vertical="center"/>
    </xf>
    <xf numFmtId="167" fontId="6" fillId="0" borderId="11" xfId="0" applyNumberFormat="1" applyFont="1" applyFill="1" applyBorder="1"/>
    <xf numFmtId="0" fontId="23" fillId="0" borderId="11" xfId="0" applyFont="1" applyFill="1" applyBorder="1" applyAlignment="1">
      <alignment horizontal="left" vertical="center" indent="2"/>
    </xf>
    <xf numFmtId="0" fontId="21" fillId="0" borderId="12" xfId="0" applyFont="1" applyFill="1" applyBorder="1" applyAlignment="1">
      <alignment horizontal="left" vertical="center" indent="2"/>
    </xf>
    <xf numFmtId="0" fontId="7" fillId="0" borderId="12" xfId="0" applyFont="1" applyFill="1" applyBorder="1"/>
    <xf numFmtId="167" fontId="7" fillId="0" borderId="12" xfId="0" applyNumberFormat="1" applyFont="1" applyFill="1" applyBorder="1"/>
    <xf numFmtId="0" fontId="21" fillId="3" borderId="6" xfId="0" applyFont="1" applyFill="1" applyBorder="1" applyAlignment="1">
      <alignment horizontal="left"/>
    </xf>
    <xf numFmtId="0" fontId="21" fillId="3" borderId="6" xfId="0" applyFont="1" applyFill="1" applyBorder="1" applyAlignment="1"/>
    <xf numFmtId="0" fontId="21" fillId="0" borderId="1" xfId="0" applyFont="1" applyBorder="1" applyAlignment="1">
      <alignment horizontal="left" indent="1"/>
    </xf>
    <xf numFmtId="0" fontId="23" fillId="0" borderId="1" xfId="0" applyFont="1" applyFill="1" applyBorder="1" applyAlignment="1">
      <alignment horizontal="left" vertical="center"/>
    </xf>
    <xf numFmtId="0" fontId="23" fillId="0" borderId="6" xfId="0" applyFont="1" applyBorder="1" applyAlignment="1">
      <alignment horizontal="left" indent="4"/>
    </xf>
    <xf numFmtId="0" fontId="23" fillId="0" borderId="15" xfId="10" applyFont="1" applyBorder="1" applyAlignment="1">
      <alignment horizontal="left" indent="4"/>
    </xf>
    <xf numFmtId="0" fontId="23" fillId="3" borderId="6" xfId="0" applyFont="1" applyFill="1" applyBorder="1" applyAlignment="1">
      <alignment horizontal="right" vertical="center" indent="1"/>
    </xf>
    <xf numFmtId="166" fontId="28" fillId="3" borderId="3" xfId="3" applyNumberFormat="1" applyFont="1" applyFill="1" applyBorder="1" applyAlignment="1">
      <alignment horizontal="center" vertical="center"/>
    </xf>
    <xf numFmtId="0" fontId="71" fillId="7" borderId="6" xfId="0" applyFont="1" applyFill="1" applyBorder="1" applyAlignment="1">
      <alignment horizontal="left" vertical="center" indent="1"/>
    </xf>
    <xf numFmtId="0" fontId="6" fillId="0" borderId="0" xfId="0" applyFont="1" applyFill="1" applyAlignment="1">
      <alignment horizontal="right"/>
    </xf>
    <xf numFmtId="166" fontId="26" fillId="3" borderId="6" xfId="3" applyNumberFormat="1" applyFont="1" applyFill="1" applyBorder="1" applyAlignment="1">
      <alignment horizontal="right" vertical="center"/>
    </xf>
    <xf numFmtId="166" fontId="26" fillId="3" borderId="2" xfId="3" applyNumberFormat="1" applyFont="1" applyFill="1" applyBorder="1" applyAlignment="1">
      <alignment horizontal="center" vertical="center"/>
    </xf>
    <xf numFmtId="0" fontId="21" fillId="7" borderId="6" xfId="0" applyFont="1" applyFill="1" applyBorder="1" applyAlignment="1">
      <alignment vertical="center"/>
    </xf>
    <xf numFmtId="0" fontId="8" fillId="2" borderId="0" xfId="0" applyFont="1" applyFill="1" applyAlignment="1">
      <alignment horizontal="left" vertical="center" indent="1"/>
    </xf>
    <xf numFmtId="0" fontId="7" fillId="4" borderId="6" xfId="0" applyFont="1" applyFill="1" applyBorder="1" applyAlignment="1">
      <alignment horizontal="right" vertical="center"/>
    </xf>
    <xf numFmtId="0" fontId="21" fillId="0" borderId="6" xfId="0" applyFont="1" applyFill="1" applyBorder="1" applyAlignment="1">
      <alignment horizontal="left" vertical="center"/>
    </xf>
    <xf numFmtId="166" fontId="21" fillId="0" borderId="0" xfId="3" applyNumberFormat="1" applyFont="1" applyBorder="1" applyAlignment="1">
      <alignment horizontal="center"/>
    </xf>
    <xf numFmtId="0" fontId="21" fillId="0" borderId="6" xfId="0" applyFont="1" applyBorder="1" applyAlignment="1">
      <alignment horizontal="left" indent="1"/>
    </xf>
    <xf numFmtId="0" fontId="28" fillId="0" borderId="13" xfId="0" applyFont="1" applyBorder="1" applyAlignment="1">
      <alignment horizontal="center"/>
    </xf>
    <xf numFmtId="0" fontId="40" fillId="0" borderId="6" xfId="0" applyFont="1" applyFill="1" applyBorder="1" applyAlignment="1">
      <alignment horizontal="left" vertical="center"/>
    </xf>
    <xf numFmtId="0" fontId="40" fillId="0" borderId="11" xfId="0" applyFont="1" applyFill="1" applyBorder="1" applyAlignment="1">
      <alignment horizontal="center"/>
    </xf>
    <xf numFmtId="43" fontId="40" fillId="0" borderId="2" xfId="3" applyFont="1" applyFill="1" applyBorder="1" applyAlignment="1">
      <alignment horizontal="center" vertical="center"/>
    </xf>
    <xf numFmtId="43" fontId="40" fillId="0" borderId="1" xfId="3" applyFont="1" applyFill="1" applyBorder="1" applyAlignment="1">
      <alignment horizontal="center" vertical="center"/>
    </xf>
    <xf numFmtId="0" fontId="7" fillId="3" borderId="3" xfId="0" applyFont="1" applyFill="1" applyBorder="1" applyAlignment="1">
      <alignment horizontal="left" vertical="center"/>
    </xf>
    <xf numFmtId="0" fontId="40" fillId="0" borderId="1" xfId="0" applyFont="1" applyFill="1" applyBorder="1" applyAlignment="1">
      <alignment horizontal="left" vertical="center"/>
    </xf>
    <xf numFmtId="0" fontId="73" fillId="5" borderId="34" xfId="0" applyFont="1" applyFill="1" applyBorder="1" applyAlignment="1">
      <alignment horizontal="left" vertical="center"/>
    </xf>
    <xf numFmtId="0" fontId="73" fillId="5" borderId="34" xfId="0" applyFont="1" applyFill="1" applyBorder="1" applyAlignment="1">
      <alignment horizontal="center" vertical="center"/>
    </xf>
    <xf numFmtId="0" fontId="73" fillId="5" borderId="35" xfId="0" applyFont="1" applyFill="1" applyBorder="1" applyAlignment="1">
      <alignment horizontal="center" vertical="center"/>
    </xf>
    <xf numFmtId="0" fontId="74" fillId="0" borderId="34" xfId="0" applyFont="1" applyFill="1" applyBorder="1" applyAlignment="1">
      <alignment horizontal="left" vertical="center"/>
    </xf>
    <xf numFmtId="0" fontId="74" fillId="0" borderId="36" xfId="0" applyFont="1" applyFill="1" applyBorder="1" applyAlignment="1">
      <alignment horizontal="center" vertical="center"/>
    </xf>
    <xf numFmtId="3" fontId="74" fillId="0" borderId="34" xfId="0" applyNumberFormat="1" applyFont="1" applyFill="1" applyBorder="1" applyAlignment="1">
      <alignment horizontal="center" vertical="center"/>
    </xf>
    <xf numFmtId="0" fontId="74" fillId="0" borderId="37" xfId="0" applyFont="1" applyFill="1" applyBorder="1" applyAlignment="1">
      <alignment horizontal="left" vertical="center"/>
    </xf>
    <xf numFmtId="3" fontId="74" fillId="0" borderId="37" xfId="0" applyNumberFormat="1" applyFont="1" applyFill="1" applyBorder="1" applyAlignment="1">
      <alignment horizontal="center" vertical="center"/>
    </xf>
    <xf numFmtId="0" fontId="73" fillId="3" borderId="38" xfId="0" applyFont="1" applyFill="1" applyBorder="1" applyAlignment="1">
      <alignment horizontal="left" vertical="center"/>
    </xf>
    <xf numFmtId="0" fontId="73" fillId="3" borderId="38" xfId="0" applyFont="1" applyFill="1" applyBorder="1" applyAlignment="1">
      <alignment horizontal="center" vertical="center"/>
    </xf>
    <xf numFmtId="3" fontId="74" fillId="3" borderId="38" xfId="0" applyNumberFormat="1" applyFont="1" applyFill="1" applyBorder="1" applyAlignment="1">
      <alignment horizontal="center" vertical="center"/>
    </xf>
    <xf numFmtId="0" fontId="74" fillId="0" borderId="34" xfId="0" applyFont="1" applyBorder="1" applyAlignment="1">
      <alignment horizontal="left" vertical="center"/>
    </xf>
    <xf numFmtId="0" fontId="74" fillId="0" borderId="36" xfId="0" applyFont="1" applyBorder="1" applyAlignment="1">
      <alignment horizontal="center" vertical="center"/>
    </xf>
    <xf numFmtId="10" fontId="74" fillId="0" borderId="34" xfId="0" applyNumberFormat="1" applyFont="1" applyBorder="1" applyAlignment="1">
      <alignment horizontal="center" vertical="center"/>
    </xf>
    <xf numFmtId="0" fontId="74" fillId="0" borderId="38" xfId="0" applyFont="1" applyBorder="1" applyAlignment="1">
      <alignment horizontal="left" vertical="center"/>
    </xf>
    <xf numFmtId="0" fontId="74" fillId="0" borderId="34" xfId="0" applyFont="1" applyBorder="1" applyAlignment="1">
      <alignment horizontal="center" vertical="center"/>
    </xf>
    <xf numFmtId="10" fontId="74" fillId="0" borderId="38" xfId="0" applyNumberFormat="1" applyFont="1" applyBorder="1" applyAlignment="1">
      <alignment horizontal="center" vertical="center"/>
    </xf>
    <xf numFmtId="0" fontId="74" fillId="0" borderId="0" xfId="0" applyFont="1" applyAlignment="1">
      <alignment horizontal="left" vertical="center"/>
    </xf>
    <xf numFmtId="0" fontId="74" fillId="0" borderId="0" xfId="0" applyFont="1" applyAlignment="1">
      <alignment horizontal="center" vertical="center"/>
    </xf>
    <xf numFmtId="10" fontId="74" fillId="0" borderId="37" xfId="0" applyNumberFormat="1" applyFont="1" applyBorder="1" applyAlignment="1">
      <alignment horizontal="center" vertical="center"/>
    </xf>
    <xf numFmtId="0" fontId="73" fillId="3" borderId="1" xfId="0" applyFont="1" applyFill="1" applyBorder="1" applyAlignment="1">
      <alignment horizontal="left" vertical="center"/>
    </xf>
    <xf numFmtId="0" fontId="73" fillId="3" borderId="1" xfId="0" applyFont="1" applyFill="1" applyBorder="1" applyAlignment="1">
      <alignment horizontal="center" vertical="center"/>
    </xf>
    <xf numFmtId="43" fontId="73" fillId="3" borderId="1" xfId="3" applyFont="1" applyFill="1" applyBorder="1" applyAlignment="1">
      <alignment horizontal="center" vertical="center"/>
    </xf>
    <xf numFmtId="0" fontId="76" fillId="0" borderId="0" xfId="0" applyFont="1" applyAlignment="1">
      <alignment horizontal="center" vertical="center"/>
    </xf>
    <xf numFmtId="0" fontId="77" fillId="0" borderId="0" xfId="0" applyFont="1" applyAlignment="1">
      <alignment horizontal="left" vertical="center"/>
    </xf>
    <xf numFmtId="0" fontId="77" fillId="0" borderId="0" xfId="0" applyFont="1" applyAlignment="1">
      <alignment horizontal="center" vertical="center"/>
    </xf>
    <xf numFmtId="0" fontId="74" fillId="0" borderId="37" xfId="0" applyFont="1" applyBorder="1" applyAlignment="1">
      <alignment horizontal="center" vertical="center"/>
    </xf>
    <xf numFmtId="0" fontId="74" fillId="3" borderId="34" xfId="0" applyFont="1" applyFill="1" applyBorder="1" applyAlignment="1">
      <alignment horizontal="center" vertical="center"/>
    </xf>
    <xf numFmtId="10" fontId="78" fillId="3" borderId="38" xfId="0" applyNumberFormat="1" applyFont="1" applyFill="1" applyBorder="1" applyAlignment="1">
      <alignment horizontal="center" vertical="center"/>
    </xf>
    <xf numFmtId="0" fontId="4" fillId="0" borderId="1" xfId="0" applyFont="1" applyBorder="1" applyAlignment="1">
      <alignment horizontal="left" indent="1"/>
    </xf>
    <xf numFmtId="0" fontId="12" fillId="3" borderId="1" xfId="0" applyFont="1" applyFill="1" applyBorder="1" applyAlignment="1">
      <alignment horizontal="center"/>
    </xf>
    <xf numFmtId="0" fontId="4" fillId="0" borderId="1" xfId="0" applyFont="1" applyBorder="1" applyAlignment="1">
      <alignment horizontal="center"/>
    </xf>
    <xf numFmtId="0" fontId="79" fillId="0" borderId="1" xfId="0" applyFont="1" applyBorder="1" applyAlignment="1">
      <alignment horizontal="center" vertical="center" wrapText="1"/>
    </xf>
    <xf numFmtId="0" fontId="25" fillId="0" borderId="1" xfId="0" applyFont="1" applyBorder="1" applyAlignment="1">
      <alignment horizontal="center"/>
    </xf>
    <xf numFmtId="0" fontId="50" fillId="0" borderId="0" xfId="0" applyFont="1" applyFill="1" applyAlignment="1">
      <alignment horizontal="left" vertical="center" indent="1"/>
    </xf>
    <xf numFmtId="166" fontId="28" fillId="3" borderId="2" xfId="3" applyNumberFormat="1" applyFont="1" applyFill="1" applyBorder="1" applyAlignment="1">
      <alignment horizontal="center" vertical="center"/>
    </xf>
    <xf numFmtId="0" fontId="4" fillId="0" borderId="0" xfId="0" applyFont="1" applyAlignment="1">
      <alignment horizontal="center" vertical="center"/>
    </xf>
    <xf numFmtId="0" fontId="6" fillId="0" borderId="0" xfId="0" applyFont="1" applyAlignment="1">
      <alignment horizontal="left" indent="1"/>
    </xf>
    <xf numFmtId="0" fontId="23" fillId="3" borderId="1" xfId="0" applyFont="1" applyFill="1" applyBorder="1" applyAlignment="1">
      <alignment horizontal="center"/>
    </xf>
    <xf numFmtId="167" fontId="26" fillId="3" borderId="1" xfId="0" applyNumberFormat="1" applyFont="1" applyFill="1" applyBorder="1" applyAlignment="1">
      <alignment horizontal="center"/>
    </xf>
    <xf numFmtId="0" fontId="37" fillId="0" borderId="0" xfId="0" applyFont="1" applyFill="1" applyAlignment="1">
      <alignment horizontal="left" vertical="center" indent="1"/>
    </xf>
    <xf numFmtId="0" fontId="37" fillId="0" borderId="0" xfId="0" applyFont="1" applyFill="1"/>
    <xf numFmtId="0" fontId="84" fillId="2" borderId="0" xfId="0" applyFont="1" applyFill="1" applyAlignment="1">
      <alignment horizontal="center" vertical="center"/>
    </xf>
    <xf numFmtId="0" fontId="85" fillId="0" borderId="4" xfId="0" applyFont="1" applyBorder="1" applyAlignment="1">
      <alignment horizontal="left" vertical="center"/>
    </xf>
    <xf numFmtId="0" fontId="81" fillId="0" borderId="0" xfId="0" applyFont="1" applyAlignment="1">
      <alignment horizontal="left" vertical="center" indent="1"/>
    </xf>
    <xf numFmtId="0" fontId="23" fillId="0" borderId="6" xfId="0" applyFont="1" applyFill="1" applyBorder="1" applyAlignment="1">
      <alignment horizontal="right" vertical="center"/>
    </xf>
    <xf numFmtId="0" fontId="23" fillId="0" borderId="6" xfId="0" applyFont="1" applyBorder="1" applyAlignment="1">
      <alignment horizontal="right" vertical="center"/>
    </xf>
    <xf numFmtId="0" fontId="45" fillId="0" borderId="0" xfId="0" applyFont="1" applyFill="1" applyAlignment="1">
      <alignment vertical="center"/>
    </xf>
    <xf numFmtId="0" fontId="51" fillId="0" borderId="0" xfId="0" applyFont="1" applyFill="1"/>
    <xf numFmtId="3" fontId="26" fillId="3" borderId="1" xfId="0" applyNumberFormat="1" applyFont="1" applyFill="1" applyBorder="1" applyAlignment="1">
      <alignment horizontal="center" vertical="center"/>
    </xf>
    <xf numFmtId="167" fontId="23" fillId="0" borderId="2" xfId="0" quotePrefix="1" applyNumberFormat="1" applyFont="1" applyFill="1" applyBorder="1" applyAlignment="1">
      <alignment horizontal="right" vertical="center"/>
    </xf>
    <xf numFmtId="0" fontId="23" fillId="0" borderId="14" xfId="0" applyFont="1" applyFill="1" applyBorder="1" applyAlignment="1">
      <alignment horizontal="left" indent="1"/>
    </xf>
    <xf numFmtId="0" fontId="21" fillId="3" borderId="2" xfId="0" applyNumberFormat="1" applyFont="1" applyFill="1" applyBorder="1" applyAlignment="1">
      <alignment horizontal="center" vertical="center"/>
    </xf>
    <xf numFmtId="0" fontId="7" fillId="0" borderId="6" xfId="10" applyFont="1" applyBorder="1" applyAlignment="1">
      <alignment horizontal="left" vertical="center"/>
    </xf>
    <xf numFmtId="0" fontId="6" fillId="0" borderId="6" xfId="10" applyFont="1" applyBorder="1" applyAlignment="1">
      <alignment horizontal="left" vertical="center"/>
    </xf>
    <xf numFmtId="0" fontId="23" fillId="0" borderId="12" xfId="0" applyFont="1" applyBorder="1" applyAlignment="1">
      <alignment horizontal="left" vertical="center"/>
    </xf>
    <xf numFmtId="0" fontId="79" fillId="0" borderId="1" xfId="0" applyFont="1" applyBorder="1" applyAlignment="1">
      <alignment horizontal="right"/>
    </xf>
    <xf numFmtId="0" fontId="23" fillId="0" borderId="0" xfId="0" applyFont="1" applyFill="1" applyBorder="1" applyAlignment="1">
      <alignment horizontal="left" indent="1"/>
    </xf>
    <xf numFmtId="0" fontId="87" fillId="0" borderId="0" xfId="0" applyFont="1"/>
    <xf numFmtId="0" fontId="4" fillId="2" borderId="0" xfId="0" applyFont="1" applyFill="1"/>
    <xf numFmtId="0" fontId="4" fillId="2" borderId="0" xfId="0" applyFont="1" applyFill="1" applyAlignment="1">
      <alignment horizontal="center" vertical="center"/>
    </xf>
    <xf numFmtId="0" fontId="4" fillId="0" borderId="0" xfId="0" applyFont="1" applyAlignment="1">
      <alignment horizontal="left"/>
    </xf>
    <xf numFmtId="0" fontId="79" fillId="0" borderId="0" xfId="0" applyFont="1"/>
    <xf numFmtId="0" fontId="12" fillId="0" borderId="0" xfId="0" applyFont="1" applyAlignment="1">
      <alignment wrapText="1"/>
    </xf>
    <xf numFmtId="0" fontId="11" fillId="0" borderId="0" xfId="0" applyFont="1"/>
    <xf numFmtId="0" fontId="82" fillId="0" borderId="0" xfId="0" applyFont="1"/>
    <xf numFmtId="0" fontId="88" fillId="0" borderId="0" xfId="0" applyFont="1" applyAlignment="1">
      <alignment horizontal="left" indent="1"/>
    </xf>
    <xf numFmtId="0" fontId="86" fillId="0" borderId="0" xfId="0" applyFont="1" applyAlignment="1">
      <alignment horizontal="left" vertical="center" indent="1"/>
    </xf>
    <xf numFmtId="0" fontId="4" fillId="2" borderId="0" xfId="0" applyFont="1" applyFill="1" applyAlignment="1">
      <alignment horizontal="center"/>
    </xf>
    <xf numFmtId="0" fontId="11" fillId="3" borderId="0" xfId="0" applyFont="1" applyFill="1" applyAlignment="1">
      <alignment horizontal="center"/>
    </xf>
    <xf numFmtId="0" fontId="11" fillId="3" borderId="0" xfId="0" applyFont="1" applyFill="1"/>
    <xf numFmtId="0" fontId="4" fillId="3" borderId="0" xfId="0" applyFont="1" applyFill="1"/>
    <xf numFmtId="0" fontId="11" fillId="0" borderId="0" xfId="0" applyFont="1" applyAlignment="1">
      <alignment horizontal="center" vertical="center"/>
    </xf>
    <xf numFmtId="0" fontId="12" fillId="0" borderId="0" xfId="0" applyFont="1" applyAlignment="1">
      <alignment horizontal="left" vertical="center"/>
    </xf>
    <xf numFmtId="0" fontId="11" fillId="0" borderId="0" xfId="0" applyFont="1" applyAlignment="1">
      <alignment vertical="center"/>
    </xf>
    <xf numFmtId="0" fontId="12" fillId="0" borderId="0" xfId="0" applyFont="1" applyAlignment="1">
      <alignment horizontal="center" wrapText="1"/>
    </xf>
    <xf numFmtId="0" fontId="11" fillId="0" borderId="0" xfId="0" applyFont="1" applyAlignment="1">
      <alignment horizontal="center"/>
    </xf>
    <xf numFmtId="0" fontId="12" fillId="0" borderId="0" xfId="0" applyFont="1" applyAlignment="1">
      <alignment horizontal="left" indent="1"/>
    </xf>
    <xf numFmtId="3" fontId="4" fillId="0" borderId="1" xfId="0" applyNumberFormat="1" applyFont="1" applyBorder="1" applyAlignment="1">
      <alignment horizontal="center"/>
    </xf>
    <xf numFmtId="166" fontId="4" fillId="0" borderId="1" xfId="3" applyNumberFormat="1" applyFont="1" applyBorder="1" applyAlignment="1">
      <alignment horizontal="center"/>
    </xf>
    <xf numFmtId="170" fontId="4" fillId="0" borderId="1" xfId="3" applyNumberFormat="1" applyFont="1" applyBorder="1" applyAlignment="1">
      <alignment horizontal="center"/>
    </xf>
    <xf numFmtId="0" fontId="79" fillId="0" borderId="0" xfId="0" applyFont="1" applyAlignment="1">
      <alignment horizontal="center" vertical="center"/>
    </xf>
    <xf numFmtId="3" fontId="11" fillId="0" borderId="1" xfId="0" applyNumberFormat="1" applyFont="1" applyBorder="1" applyAlignment="1">
      <alignment horizontal="center"/>
    </xf>
    <xf numFmtId="0" fontId="88" fillId="0" borderId="0" xfId="0" quotePrefix="1" applyFont="1" applyAlignment="1">
      <alignment horizontal="left" indent="1"/>
    </xf>
    <xf numFmtId="0" fontId="11" fillId="3" borderId="1" xfId="0" applyFont="1" applyFill="1" applyBorder="1" applyAlignment="1">
      <alignment horizontal="right"/>
    </xf>
    <xf numFmtId="3" fontId="12" fillId="0" borderId="1" xfId="0" applyNumberFormat="1" applyFont="1" applyBorder="1" applyAlignment="1">
      <alignment horizontal="center"/>
    </xf>
    <xf numFmtId="0" fontId="25" fillId="3" borderId="1" xfId="0" applyFont="1" applyFill="1" applyBorder="1" applyAlignment="1">
      <alignment horizontal="left" indent="2"/>
    </xf>
    <xf numFmtId="165" fontId="82" fillId="3" borderId="1" xfId="11" applyNumberFormat="1" applyFont="1" applyFill="1" applyBorder="1" applyAlignment="1">
      <alignment horizontal="center"/>
    </xf>
    <xf numFmtId="165" fontId="82" fillId="0" borderId="1" xfId="11" applyNumberFormat="1" applyFont="1" applyFill="1" applyBorder="1" applyAlignment="1">
      <alignment horizontal="center"/>
    </xf>
    <xf numFmtId="166" fontId="26" fillId="3" borderId="12" xfId="3" applyNumberFormat="1" applyFont="1" applyFill="1" applyBorder="1" applyAlignment="1">
      <alignment horizontal="center" vertical="center"/>
    </xf>
    <xf numFmtId="0" fontId="37" fillId="0" borderId="0" xfId="0" applyFont="1" applyAlignment="1">
      <alignment vertical="center" wrapText="1"/>
    </xf>
    <xf numFmtId="0" fontId="81" fillId="0" borderId="0" xfId="0" applyFont="1" applyFill="1" applyAlignment="1">
      <alignment horizontal="right"/>
    </xf>
    <xf numFmtId="0" fontId="81" fillId="0" borderId="0" xfId="0" applyFont="1" applyAlignment="1">
      <alignment horizontal="right"/>
    </xf>
    <xf numFmtId="1" fontId="26" fillId="3" borderId="1" xfId="0" applyNumberFormat="1" applyFont="1" applyFill="1" applyBorder="1" applyAlignment="1">
      <alignment horizontal="center" vertical="center"/>
    </xf>
    <xf numFmtId="0" fontId="3" fillId="3" borderId="6" xfId="0" applyFont="1" applyFill="1" applyBorder="1" applyAlignment="1">
      <alignment horizontal="left" vertical="center" indent="1"/>
    </xf>
    <xf numFmtId="0" fontId="23" fillId="0" borderId="6" xfId="0" applyFont="1" applyBorder="1" applyAlignment="1">
      <alignment horizontal="left" vertical="center" indent="3"/>
    </xf>
    <xf numFmtId="0" fontId="21" fillId="3" borderId="3" xfId="0" applyFont="1" applyFill="1" applyBorder="1" applyAlignment="1">
      <alignment horizontal="right" vertical="center" indent="1"/>
    </xf>
    <xf numFmtId="0" fontId="23" fillId="3" borderId="3" xfId="0" applyFont="1" applyFill="1" applyBorder="1" applyAlignment="1">
      <alignment horizontal="right" vertical="center" indent="1"/>
    </xf>
    <xf numFmtId="0" fontId="7" fillId="3" borderId="3" xfId="0" applyFont="1" applyFill="1" applyBorder="1" applyAlignment="1">
      <alignment horizontal="center" vertical="center"/>
    </xf>
    <xf numFmtId="0" fontId="6" fillId="3" borderId="3" xfId="0" applyFont="1" applyFill="1" applyBorder="1" applyAlignment="1">
      <alignment vertical="center"/>
    </xf>
    <xf numFmtId="166" fontId="26" fillId="3" borderId="1" xfId="3" applyNumberFormat="1" applyFont="1" applyFill="1" applyBorder="1" applyAlignment="1">
      <alignment horizontal="center" vertical="center"/>
    </xf>
    <xf numFmtId="166" fontId="26" fillId="3" borderId="2" xfId="3" applyNumberFormat="1" applyFont="1" applyFill="1" applyBorder="1" applyAlignment="1">
      <alignment horizontal="right" vertical="center"/>
    </xf>
    <xf numFmtId="3" fontId="26" fillId="3" borderId="14" xfId="0" applyNumberFormat="1" applyFont="1" applyFill="1" applyBorder="1" applyAlignment="1">
      <alignment horizontal="center" vertical="center"/>
    </xf>
    <xf numFmtId="9" fontId="10" fillId="0" borderId="46" xfId="11" applyFont="1" applyFill="1" applyBorder="1" applyAlignment="1">
      <alignment horizontal="center" vertical="center"/>
    </xf>
    <xf numFmtId="3" fontId="26" fillId="3" borderId="12" xfId="0" applyNumberFormat="1" applyFont="1" applyFill="1" applyBorder="1" applyAlignment="1">
      <alignment horizontal="center" vertical="center"/>
    </xf>
    <xf numFmtId="0" fontId="6" fillId="0" borderId="6" xfId="0" applyFont="1" applyBorder="1" applyAlignment="1">
      <alignment horizontal="left" vertical="center" indent="2"/>
    </xf>
    <xf numFmtId="0" fontId="6" fillId="0" borderId="18" xfId="0" applyFont="1" applyBorder="1" applyAlignment="1">
      <alignment horizontal="left" vertical="center" indent="2"/>
    </xf>
    <xf numFmtId="0" fontId="21" fillId="3" borderId="5" xfId="0" applyFont="1" applyFill="1" applyBorder="1" applyAlignment="1">
      <alignment horizontal="left" vertical="center" indent="1"/>
    </xf>
    <xf numFmtId="0" fontId="23" fillId="0" borderId="14" xfId="0" applyFont="1" applyBorder="1" applyAlignment="1">
      <alignment horizontal="left" vertical="center" indent="1"/>
    </xf>
    <xf numFmtId="0" fontId="23" fillId="0" borderId="6" xfId="0" applyFont="1" applyBorder="1" applyAlignment="1">
      <alignment horizontal="left" vertical="center" indent="1"/>
    </xf>
    <xf numFmtId="0" fontId="5" fillId="3" borderId="1" xfId="0" applyFont="1" applyFill="1" applyBorder="1" applyAlignment="1">
      <alignment horizontal="center" vertical="center"/>
    </xf>
    <xf numFmtId="166" fontId="26" fillId="3" borderId="2" xfId="0" applyNumberFormat="1" applyFont="1" applyFill="1" applyBorder="1" applyAlignment="1">
      <alignment vertical="center"/>
    </xf>
    <xf numFmtId="0" fontId="23" fillId="0" borderId="6" xfId="0" applyFont="1" applyBorder="1" applyAlignment="1">
      <alignment horizontal="left" vertical="center" indent="2"/>
    </xf>
    <xf numFmtId="0" fontId="14" fillId="3" borderId="1" xfId="0" applyFont="1" applyFill="1" applyBorder="1" applyAlignment="1">
      <alignment horizontal="center" vertical="center"/>
    </xf>
    <xf numFmtId="167" fontId="26" fillId="3" borderId="2" xfId="0" applyNumberFormat="1" applyFont="1" applyFill="1" applyBorder="1" applyAlignment="1">
      <alignment horizontal="center"/>
    </xf>
    <xf numFmtId="167" fontId="23" fillId="3" borderId="2" xfId="0" applyNumberFormat="1" applyFont="1" applyFill="1" applyBorder="1" applyAlignment="1">
      <alignment horizontal="center"/>
    </xf>
    <xf numFmtId="0" fontId="23" fillId="3" borderId="3" xfId="0" applyFont="1" applyFill="1" applyBorder="1" applyAlignment="1">
      <alignment horizontal="center"/>
    </xf>
    <xf numFmtId="0" fontId="21" fillId="3" borderId="6" xfId="0" applyFont="1" applyFill="1" applyBorder="1" applyAlignment="1">
      <alignment horizontal="left" vertical="center" indent="2"/>
    </xf>
    <xf numFmtId="1" fontId="35" fillId="3" borderId="3" xfId="0" applyNumberFormat="1" applyFont="1" applyFill="1" applyBorder="1" applyAlignment="1">
      <alignment horizontal="center"/>
    </xf>
    <xf numFmtId="0" fontId="6" fillId="3" borderId="2" xfId="0" applyFont="1" applyFill="1" applyBorder="1" applyAlignment="1">
      <alignment horizontal="center"/>
    </xf>
    <xf numFmtId="0" fontId="28" fillId="3" borderId="6" xfId="0" applyFont="1" applyFill="1" applyBorder="1" applyAlignment="1">
      <alignment horizontal="center"/>
    </xf>
    <xf numFmtId="0" fontId="28" fillId="3" borderId="3" xfId="0" applyFont="1" applyFill="1" applyBorder="1" applyAlignment="1">
      <alignment horizontal="center"/>
    </xf>
    <xf numFmtId="0" fontId="28" fillId="3" borderId="2" xfId="0" applyFont="1" applyFill="1" applyBorder="1" applyAlignment="1">
      <alignment horizontal="center"/>
    </xf>
    <xf numFmtId="167" fontId="28" fillId="3" borderId="1" xfId="0" applyNumberFormat="1" applyFont="1" applyFill="1" applyBorder="1" applyAlignment="1">
      <alignment horizontal="center"/>
    </xf>
    <xf numFmtId="0" fontId="23" fillId="3" borderId="1" xfId="0" applyFont="1" applyFill="1" applyBorder="1" applyAlignment="1">
      <alignment horizontal="right" vertical="center" indent="1"/>
    </xf>
    <xf numFmtId="0" fontId="21" fillId="3" borderId="3" xfId="0" applyFont="1" applyFill="1" applyBorder="1" applyAlignment="1">
      <alignment horizontal="left" vertical="center" indent="1"/>
    </xf>
    <xf numFmtId="0" fontId="21" fillId="3" borderId="2" xfId="0" applyFont="1" applyFill="1" applyBorder="1" applyAlignment="1">
      <alignment horizontal="left" vertical="center" indent="1"/>
    </xf>
    <xf numFmtId="0" fontId="23" fillId="3" borderId="3" xfId="0" applyFont="1" applyFill="1" applyBorder="1" applyAlignment="1">
      <alignment horizontal="center" vertical="center"/>
    </xf>
    <xf numFmtId="0" fontId="6" fillId="0" borderId="0" xfId="0" applyFont="1" applyAlignment="1">
      <alignment horizontal="left" vertical="center" indent="1"/>
    </xf>
    <xf numFmtId="0" fontId="6" fillId="3" borderId="3" xfId="0" applyFont="1" applyFill="1" applyBorder="1"/>
    <xf numFmtId="166" fontId="21" fillId="3" borderId="3" xfId="3" applyNumberFormat="1" applyFont="1" applyFill="1" applyBorder="1" applyAlignment="1">
      <alignment horizontal="center" vertical="center"/>
    </xf>
    <xf numFmtId="166" fontId="21" fillId="3" borderId="2" xfId="3" applyNumberFormat="1" applyFont="1" applyFill="1" applyBorder="1" applyAlignment="1">
      <alignment horizontal="center" vertical="center"/>
    </xf>
    <xf numFmtId="0" fontId="23" fillId="0" borderId="6" xfId="0" quotePrefix="1" applyFont="1" applyFill="1" applyBorder="1" applyAlignment="1">
      <alignment horizontal="left" vertical="center" indent="1"/>
    </xf>
    <xf numFmtId="166" fontId="28" fillId="3" borderId="1" xfId="3" applyNumberFormat="1" applyFont="1" applyFill="1" applyBorder="1" applyAlignment="1">
      <alignment horizontal="center"/>
    </xf>
    <xf numFmtId="167" fontId="6" fillId="0" borderId="0" xfId="0" applyNumberFormat="1" applyFont="1" applyAlignment="1">
      <alignment horizontal="right"/>
    </xf>
    <xf numFmtId="0" fontId="14" fillId="3" borderId="1" xfId="0" applyFont="1" applyFill="1" applyBorder="1" applyAlignment="1">
      <alignment horizontal="center" vertical="center" wrapText="1"/>
    </xf>
    <xf numFmtId="166" fontId="29" fillId="3" borderId="2" xfId="3" applyNumberFormat="1" applyFont="1" applyFill="1" applyBorder="1"/>
    <xf numFmtId="166" fontId="5" fillId="3" borderId="3" xfId="3" applyNumberFormat="1" applyFont="1" applyFill="1" applyBorder="1" applyAlignment="1">
      <alignment horizontal="left" vertical="center"/>
    </xf>
    <xf numFmtId="167" fontId="6" fillId="0" borderId="0" xfId="0" applyNumberFormat="1" applyFont="1" applyAlignment="1">
      <alignment horizontal="center"/>
    </xf>
    <xf numFmtId="167" fontId="29" fillId="0" borderId="1" xfId="0" applyNumberFormat="1" applyFont="1" applyBorder="1" applyAlignment="1">
      <alignment horizontal="center"/>
    </xf>
    <xf numFmtId="0" fontId="6" fillId="3" borderId="6" xfId="0" applyFont="1" applyFill="1" applyBorder="1" applyAlignment="1">
      <alignment horizontal="left" vertical="center" indent="1"/>
    </xf>
    <xf numFmtId="9" fontId="6" fillId="8" borderId="1" xfId="11" applyFont="1" applyFill="1" applyBorder="1" applyAlignment="1">
      <alignment horizontal="right" vertical="center"/>
    </xf>
    <xf numFmtId="166" fontId="26" fillId="3" borderId="1" xfId="3" applyNumberFormat="1" applyFont="1" applyFill="1" applyBorder="1" applyAlignment="1">
      <alignment vertical="center"/>
    </xf>
    <xf numFmtId="0" fontId="29" fillId="0" borderId="0" xfId="0" applyFont="1" applyAlignment="1">
      <alignment horizontal="justify" vertical="center"/>
    </xf>
    <xf numFmtId="0" fontId="63"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center"/>
    </xf>
    <xf numFmtId="166" fontId="28" fillId="12" borderId="1" xfId="3" applyNumberFormat="1" applyFont="1" applyFill="1" applyBorder="1"/>
    <xf numFmtId="0" fontId="6" fillId="0" borderId="0" xfId="0" applyFont="1" applyFill="1" applyAlignment="1">
      <alignment horizontal="center"/>
    </xf>
    <xf numFmtId="165" fontId="6" fillId="8" borderId="1" xfId="11" applyNumberFormat="1" applyFont="1" applyFill="1" applyBorder="1" applyAlignment="1">
      <alignment horizontal="right"/>
    </xf>
    <xf numFmtId="10" fontId="6" fillId="0" borderId="0" xfId="0" applyNumberFormat="1" applyFont="1" applyAlignment="1">
      <alignment horizontal="left" indent="1"/>
    </xf>
    <xf numFmtId="10" fontId="5" fillId="3" borderId="1" xfId="0" applyNumberFormat="1" applyFont="1" applyFill="1" applyBorder="1" applyAlignment="1">
      <alignment horizontal="center" vertical="center"/>
    </xf>
    <xf numFmtId="10" fontId="26" fillId="3" borderId="1" xfId="11" applyNumberFormat="1" applyFont="1" applyFill="1" applyBorder="1" applyAlignment="1">
      <alignment horizontal="center"/>
    </xf>
    <xf numFmtId="0" fontId="55" fillId="0" borderId="42" xfId="0" applyFont="1" applyBorder="1" applyAlignment="1">
      <alignment horizontal="left" indent="1"/>
    </xf>
    <xf numFmtId="0" fontId="55" fillId="0" borderId="43" xfId="0" applyFont="1" applyBorder="1" applyAlignment="1">
      <alignment horizontal="left" indent="1"/>
    </xf>
    <xf numFmtId="0" fontId="55" fillId="0" borderId="43" xfId="0" applyFont="1" applyBorder="1" applyAlignment="1">
      <alignment horizontal="left" vertical="center" indent="1"/>
    </xf>
    <xf numFmtId="0" fontId="55" fillId="0" borderId="55" xfId="0" applyFont="1" applyBorder="1" applyAlignment="1">
      <alignment horizontal="left" indent="1"/>
    </xf>
    <xf numFmtId="0" fontId="55" fillId="0" borderId="44" xfId="0" applyFont="1" applyBorder="1" applyAlignment="1">
      <alignment horizontal="left" indent="1"/>
    </xf>
    <xf numFmtId="0" fontId="71" fillId="0" borderId="0" xfId="0" applyFont="1"/>
    <xf numFmtId="0" fontId="96" fillId="0" borderId="0" xfId="0" applyFont="1"/>
    <xf numFmtId="0" fontId="97" fillId="3" borderId="21" xfId="0" applyFont="1" applyFill="1" applyBorder="1" applyAlignment="1">
      <alignment horizontal="left" vertical="center" wrapText="1" indent="1"/>
    </xf>
    <xf numFmtId="0" fontId="96" fillId="0" borderId="0" xfId="0" applyFont="1" applyAlignment="1">
      <alignment horizontal="left"/>
    </xf>
    <xf numFmtId="0" fontId="97" fillId="0" borderId="21" xfId="0" applyFont="1" applyBorder="1" applyAlignment="1">
      <alignment horizontal="left" vertical="center" wrapText="1" indent="1"/>
    </xf>
    <xf numFmtId="0" fontId="99" fillId="0" borderId="21" xfId="0" applyFont="1" applyBorder="1" applyAlignment="1">
      <alignment horizontal="left" vertical="center" wrapText="1" indent="1"/>
    </xf>
    <xf numFmtId="0" fontId="97" fillId="0" borderId="0" xfId="0" applyFont="1" applyAlignment="1">
      <alignment horizontal="left" vertical="center" wrapText="1" indent="1"/>
    </xf>
    <xf numFmtId="0" fontId="99" fillId="0" borderId="52" xfId="0" applyFont="1" applyBorder="1" applyAlignment="1">
      <alignment horizontal="left" vertical="center" wrapText="1" indent="1"/>
    </xf>
    <xf numFmtId="0" fontId="97" fillId="0" borderId="50" xfId="0" applyFont="1" applyBorder="1" applyAlignment="1">
      <alignment horizontal="left" vertical="center" wrapText="1" indent="1"/>
    </xf>
    <xf numFmtId="0" fontId="97" fillId="0" borderId="50" xfId="0" applyFont="1" applyBorder="1" applyAlignment="1">
      <alignment horizontal="left" wrapText="1" indent="1"/>
    </xf>
    <xf numFmtId="0" fontId="97" fillId="0" borderId="51" xfId="0" applyFont="1" applyBorder="1" applyAlignment="1">
      <alignment horizontal="left" vertical="center" wrapText="1" indent="1"/>
    </xf>
    <xf numFmtId="0" fontId="97" fillId="0" borderId="54" xfId="0" applyFont="1" applyBorder="1" applyAlignment="1">
      <alignment horizontal="left" wrapText="1" indent="1"/>
    </xf>
    <xf numFmtId="0" fontId="102" fillId="3" borderId="22" xfId="0" applyFont="1" applyFill="1" applyBorder="1" applyAlignment="1">
      <alignment horizontal="left" vertical="center" indent="1"/>
    </xf>
    <xf numFmtId="0" fontId="97" fillId="0" borderId="39" xfId="0" applyFont="1" applyBorder="1" applyAlignment="1">
      <alignment horizontal="left" indent="1"/>
    </xf>
    <xf numFmtId="0" fontId="97" fillId="0" borderId="40" xfId="0" applyFont="1" applyBorder="1" applyAlignment="1">
      <alignment horizontal="left" indent="1"/>
    </xf>
    <xf numFmtId="0" fontId="97" fillId="0" borderId="40" xfId="0" applyFont="1" applyBorder="1" applyAlignment="1">
      <alignment horizontal="left" wrapText="1" indent="1"/>
    </xf>
    <xf numFmtId="0" fontId="97" fillId="0" borderId="56" xfId="0" applyFont="1" applyBorder="1" applyAlignment="1">
      <alignment horizontal="left" indent="1"/>
    </xf>
    <xf numFmtId="0" fontId="97" fillId="0" borderId="41" xfId="0" applyFont="1" applyBorder="1" applyAlignment="1">
      <alignment horizontal="left" indent="1"/>
    </xf>
    <xf numFmtId="0" fontId="6" fillId="3" borderId="0" xfId="0" applyFont="1" applyFill="1" applyBorder="1" applyAlignment="1">
      <alignment vertical="center"/>
    </xf>
    <xf numFmtId="167" fontId="23" fillId="3" borderId="0" xfId="3" applyNumberFormat="1" applyFont="1" applyFill="1" applyBorder="1" applyAlignment="1">
      <alignment horizontal="center" vertical="center"/>
    </xf>
    <xf numFmtId="0" fontId="104" fillId="0" borderId="9" xfId="0" applyFont="1" applyBorder="1" applyAlignment="1">
      <alignment horizontal="center" vertical="center"/>
    </xf>
    <xf numFmtId="0" fontId="3" fillId="3" borderId="21" xfId="0" applyFont="1" applyFill="1" applyBorder="1" applyAlignment="1">
      <alignment horizontal="left" vertical="center" indent="1"/>
    </xf>
    <xf numFmtId="0" fontId="71" fillId="0" borderId="21" xfId="0" applyFont="1" applyBorder="1" applyAlignment="1">
      <alignment horizontal="left" vertical="center" indent="1"/>
    </xf>
    <xf numFmtId="0" fontId="105" fillId="0" borderId="0" xfId="0" applyFont="1" applyAlignment="1">
      <alignment horizontal="right" vertical="center" wrapText="1"/>
    </xf>
    <xf numFmtId="0" fontId="71" fillId="0" borderId="50" xfId="0" applyFont="1" applyBorder="1" applyAlignment="1">
      <alignment horizontal="left" vertical="center" indent="2"/>
    </xf>
    <xf numFmtId="0" fontId="71" fillId="0" borderId="50" xfId="0" applyFont="1" applyBorder="1" applyAlignment="1">
      <alignment horizontal="left" vertical="center" wrapText="1" indent="2"/>
    </xf>
    <xf numFmtId="0" fontId="71" fillId="0" borderId="50" xfId="0" applyFont="1" applyBorder="1" applyAlignment="1">
      <alignment horizontal="left" vertical="center" indent="3"/>
    </xf>
    <xf numFmtId="0" fontId="71" fillId="0" borderId="50" xfId="0" applyFont="1" applyBorder="1" applyAlignment="1">
      <alignment horizontal="left" vertical="center" indent="1"/>
    </xf>
    <xf numFmtId="0" fontId="71" fillId="0" borderId="50" xfId="0" applyFont="1" applyBorder="1" applyAlignment="1">
      <alignment horizontal="left" vertical="center" indent="4"/>
    </xf>
    <xf numFmtId="0" fontId="71" fillId="3" borderId="21" xfId="0" applyFont="1" applyFill="1" applyBorder="1" applyAlignment="1">
      <alignment horizontal="left" vertical="center" indent="1"/>
    </xf>
    <xf numFmtId="0" fontId="70" fillId="10" borderId="52" xfId="0" applyFont="1" applyFill="1" applyBorder="1" applyAlignment="1">
      <alignment horizontal="left" vertical="center" indent="1"/>
    </xf>
    <xf numFmtId="0" fontId="7" fillId="2" borderId="0" xfId="0" applyFont="1" applyFill="1" applyAlignment="1">
      <alignment horizontal="left" vertical="center" indent="1"/>
    </xf>
    <xf numFmtId="0" fontId="6" fillId="2" borderId="0" xfId="0" applyFont="1" applyFill="1" applyAlignment="1">
      <alignment horizontal="left" vertical="center" indent="1"/>
    </xf>
    <xf numFmtId="0" fontId="10" fillId="8" borderId="0" xfId="0" applyFont="1" applyFill="1" applyAlignment="1">
      <alignment vertical="center"/>
    </xf>
    <xf numFmtId="0" fontId="10" fillId="8" borderId="6" xfId="0" applyFont="1" applyFill="1" applyBorder="1" applyAlignment="1">
      <alignment vertical="center"/>
    </xf>
    <xf numFmtId="167" fontId="10" fillId="8" borderId="2" xfId="3" applyNumberFormat="1" applyFont="1" applyFill="1" applyBorder="1" applyAlignment="1">
      <alignment horizontal="center" vertical="center"/>
    </xf>
    <xf numFmtId="0" fontId="10" fillId="8" borderId="0" xfId="0" applyFont="1" applyFill="1" applyAlignment="1">
      <alignment horizontal="left" vertical="center"/>
    </xf>
    <xf numFmtId="0" fontId="6" fillId="3" borderId="5" xfId="0" applyFont="1" applyFill="1" applyBorder="1" applyAlignment="1">
      <alignment vertical="center"/>
    </xf>
    <xf numFmtId="167" fontId="23" fillId="3" borderId="16" xfId="3" applyNumberFormat="1" applyFont="1" applyFill="1" applyBorder="1" applyAlignment="1">
      <alignment horizontal="center" vertical="center"/>
    </xf>
    <xf numFmtId="0" fontId="6" fillId="3" borderId="18" xfId="0" applyFont="1" applyFill="1" applyBorder="1" applyAlignment="1">
      <alignment vertical="center"/>
    </xf>
    <xf numFmtId="167" fontId="23" fillId="3" borderId="13" xfId="3" applyNumberFormat="1" applyFont="1" applyFill="1" applyBorder="1" applyAlignment="1">
      <alignment horizontal="center" vertical="center"/>
    </xf>
    <xf numFmtId="0" fontId="10" fillId="8" borderId="3" xfId="0" applyFont="1" applyFill="1" applyBorder="1" applyAlignment="1">
      <alignment vertical="center"/>
    </xf>
    <xf numFmtId="167" fontId="10" fillId="8" borderId="3" xfId="3" applyNumberFormat="1" applyFont="1" applyFill="1" applyBorder="1" applyAlignment="1">
      <alignment horizontal="center" vertical="center"/>
    </xf>
    <xf numFmtId="0" fontId="5" fillId="3" borderId="3" xfId="0" applyFont="1" applyFill="1" applyBorder="1" applyAlignment="1">
      <alignment horizontal="right" vertical="center"/>
    </xf>
    <xf numFmtId="10" fontId="21" fillId="0" borderId="19" xfId="10" applyNumberFormat="1" applyFont="1" applyFill="1" applyBorder="1" applyAlignment="1">
      <alignment horizontal="right" vertical="center"/>
    </xf>
    <xf numFmtId="10" fontId="21" fillId="0" borderId="25" xfId="11" applyNumberFormat="1" applyFont="1" applyFill="1" applyBorder="1" applyAlignment="1">
      <alignment horizontal="right" vertical="center"/>
    </xf>
    <xf numFmtId="166" fontId="64" fillId="13" borderId="3" xfId="3" applyNumberFormat="1" applyFont="1" applyFill="1" applyBorder="1" applyAlignment="1">
      <alignment horizontal="center" vertical="center"/>
    </xf>
    <xf numFmtId="166" fontId="26" fillId="13" borderId="1" xfId="3" quotePrefix="1" applyNumberFormat="1" applyFont="1" applyFill="1" applyBorder="1" applyAlignment="1">
      <alignment horizontal="center" vertical="center"/>
    </xf>
    <xf numFmtId="166" fontId="26" fillId="13" borderId="1" xfId="3" applyNumberFormat="1" applyFont="1" applyFill="1" applyBorder="1" applyAlignment="1">
      <alignment horizontal="center" vertical="center"/>
    </xf>
    <xf numFmtId="0" fontId="8" fillId="0" borderId="4" xfId="0" applyFont="1" applyBorder="1"/>
    <xf numFmtId="0" fontId="55" fillId="0" borderId="21" xfId="0" applyFont="1" applyBorder="1" applyAlignment="1">
      <alignment horizontal="left" vertical="center" wrapText="1" indent="1"/>
    </xf>
    <xf numFmtId="0" fontId="106" fillId="0" borderId="21" xfId="0" applyFont="1" applyBorder="1" applyAlignment="1">
      <alignment horizontal="left" vertical="center" wrapText="1" indent="1"/>
    </xf>
    <xf numFmtId="0" fontId="106" fillId="5" borderId="57" xfId="0" applyFont="1" applyFill="1" applyBorder="1" applyAlignment="1">
      <alignment horizontal="left" vertical="center" wrapText="1" indent="1"/>
    </xf>
    <xf numFmtId="0" fontId="97" fillId="0" borderId="57" xfId="0" applyFont="1" applyBorder="1" applyAlignment="1">
      <alignment horizontal="left" vertical="center" wrapText="1" indent="1"/>
    </xf>
    <xf numFmtId="0" fontId="106" fillId="13" borderId="58" xfId="0" applyFont="1" applyFill="1" applyBorder="1" applyAlignment="1">
      <alignment horizontal="left" vertical="center" wrapText="1" indent="1"/>
    </xf>
    <xf numFmtId="0" fontId="97" fillId="0" borderId="58" xfId="0" applyFont="1" applyBorder="1" applyAlignment="1">
      <alignment horizontal="left" vertical="center" wrapText="1" indent="1"/>
    </xf>
    <xf numFmtId="167" fontId="0" fillId="0" borderId="0" xfId="0" applyNumberFormat="1" applyAlignment="1">
      <alignment horizontal="center"/>
    </xf>
    <xf numFmtId="0" fontId="109" fillId="0" borderId="0" xfId="0" applyFont="1"/>
    <xf numFmtId="166" fontId="28" fillId="12" borderId="1" xfId="3" applyNumberFormat="1" applyFont="1" applyFill="1" applyBorder="1" applyAlignment="1">
      <alignment horizontal="center" vertical="center"/>
    </xf>
    <xf numFmtId="166" fontId="28" fillId="12" borderId="2" xfId="3" applyNumberFormat="1" applyFont="1" applyFill="1" applyBorder="1" applyAlignment="1">
      <alignment horizontal="center" vertical="center"/>
    </xf>
    <xf numFmtId="166" fontId="28" fillId="12" borderId="2" xfId="3" applyNumberFormat="1" applyFont="1" applyFill="1" applyBorder="1" applyAlignment="1">
      <alignment horizontal="center"/>
    </xf>
    <xf numFmtId="166" fontId="28" fillId="12" borderId="1" xfId="3" applyNumberFormat="1" applyFont="1" applyFill="1" applyBorder="1" applyAlignment="1">
      <alignment horizontal="center"/>
    </xf>
    <xf numFmtId="0" fontId="6" fillId="0" borderId="0" xfId="0" applyFont="1" applyFill="1" applyAlignment="1">
      <alignment horizontal="left" indent="1"/>
    </xf>
    <xf numFmtId="0" fontId="110" fillId="0" borderId="4" xfId="0" applyFont="1" applyBorder="1" applyAlignment="1">
      <alignment horizontal="right"/>
    </xf>
    <xf numFmtId="0" fontId="29" fillId="0" borderId="33" xfId="0" applyFont="1" applyFill="1" applyBorder="1" applyAlignment="1">
      <alignment vertical="center" wrapText="1"/>
    </xf>
    <xf numFmtId="0" fontId="6" fillId="0" borderId="33" xfId="0" applyFont="1" applyFill="1" applyBorder="1" applyAlignment="1">
      <alignment vertical="center" wrapText="1"/>
    </xf>
    <xf numFmtId="0" fontId="6" fillId="12" borderId="3" xfId="0" applyFont="1" applyFill="1" applyBorder="1" applyAlignment="1">
      <alignment horizontal="center"/>
    </xf>
    <xf numFmtId="0" fontId="6" fillId="12" borderId="2" xfId="0" applyFont="1" applyFill="1" applyBorder="1" applyAlignment="1">
      <alignment horizontal="center"/>
    </xf>
    <xf numFmtId="3" fontId="28" fillId="12" borderId="1" xfId="0" applyNumberFormat="1" applyFont="1" applyFill="1" applyBorder="1" applyAlignment="1">
      <alignment horizontal="center" vertical="center"/>
    </xf>
    <xf numFmtId="3" fontId="28" fillId="12" borderId="13" xfId="0" applyNumberFormat="1" applyFont="1" applyFill="1" applyBorder="1" applyAlignment="1">
      <alignment horizontal="center" vertical="center"/>
    </xf>
    <xf numFmtId="0" fontId="6" fillId="12" borderId="3" xfId="0" applyFont="1" applyFill="1" applyBorder="1" applyAlignment="1">
      <alignment vertical="center"/>
    </xf>
    <xf numFmtId="0" fontId="6" fillId="12" borderId="2" xfId="0" applyFont="1" applyFill="1" applyBorder="1" applyAlignment="1">
      <alignment vertical="center"/>
    </xf>
    <xf numFmtId="0" fontId="6" fillId="12" borderId="3" xfId="0" applyFont="1" applyFill="1" applyBorder="1" applyAlignment="1">
      <alignment horizontal="center" vertical="center"/>
    </xf>
    <xf numFmtId="166" fontId="23" fillId="12" borderId="1" xfId="3" applyNumberFormat="1" applyFont="1" applyFill="1" applyBorder="1" applyAlignment="1">
      <alignment horizontal="center" vertical="center"/>
    </xf>
    <xf numFmtId="0" fontId="23" fillId="12" borderId="1" xfId="0" applyFont="1" applyFill="1" applyBorder="1" applyAlignment="1">
      <alignment horizontal="left" vertical="center" indent="2"/>
    </xf>
    <xf numFmtId="0" fontId="23" fillId="12" borderId="0" xfId="0" applyFont="1" applyFill="1"/>
    <xf numFmtId="0" fontId="6" fillId="12" borderId="1" xfId="0" applyFont="1" applyFill="1" applyBorder="1" applyAlignment="1">
      <alignment horizontal="center"/>
    </xf>
    <xf numFmtId="0" fontId="23" fillId="12" borderId="1" xfId="0" applyFont="1" applyFill="1" applyBorder="1" applyAlignment="1">
      <alignment horizontal="left" vertical="center" indent="3"/>
    </xf>
    <xf numFmtId="0" fontId="23" fillId="12" borderId="6" xfId="0" applyFont="1" applyFill="1" applyBorder="1" applyAlignment="1">
      <alignment horizontal="left" vertical="center" indent="3"/>
    </xf>
    <xf numFmtId="0" fontId="23" fillId="12" borderId="6" xfId="0" applyFont="1" applyFill="1" applyBorder="1" applyAlignment="1">
      <alignment horizontal="left" vertical="center" indent="2"/>
    </xf>
    <xf numFmtId="0" fontId="23" fillId="12" borderId="3" xfId="0" applyFont="1" applyFill="1" applyBorder="1" applyAlignment="1">
      <alignment horizontal="center"/>
    </xf>
    <xf numFmtId="0" fontId="28" fillId="12" borderId="2" xfId="0" applyFont="1" applyFill="1" applyBorder="1" applyAlignment="1">
      <alignment horizontal="center"/>
    </xf>
    <xf numFmtId="166" fontId="28" fillId="12" borderId="2" xfId="3" applyNumberFormat="1" applyFont="1" applyFill="1" applyBorder="1" applyAlignment="1">
      <alignment horizontal="right"/>
    </xf>
    <xf numFmtId="9" fontId="6" fillId="12" borderId="2" xfId="11" applyFont="1" applyFill="1" applyBorder="1" applyAlignment="1">
      <alignment horizontal="center"/>
    </xf>
    <xf numFmtId="9" fontId="6" fillId="12" borderId="6" xfId="11" applyFont="1" applyFill="1" applyBorder="1" applyAlignment="1">
      <alignment horizontal="center"/>
    </xf>
    <xf numFmtId="9" fontId="6" fillId="12" borderId="3" xfId="11" applyFont="1" applyFill="1" applyBorder="1" applyAlignment="1">
      <alignment horizontal="center"/>
    </xf>
    <xf numFmtId="166" fontId="6" fillId="12" borderId="3" xfId="3" applyNumberFormat="1" applyFont="1" applyFill="1" applyBorder="1" applyAlignment="1">
      <alignment horizontal="center"/>
    </xf>
    <xf numFmtId="0" fontId="6" fillId="12" borderId="3" xfId="0" applyFont="1" applyFill="1" applyBorder="1"/>
    <xf numFmtId="166" fontId="29" fillId="12" borderId="2" xfId="3" applyNumberFormat="1" applyFont="1" applyFill="1" applyBorder="1"/>
    <xf numFmtId="166" fontId="23" fillId="12" borderId="2" xfId="3" applyNumberFormat="1" applyFont="1" applyFill="1" applyBorder="1" applyAlignment="1">
      <alignment vertical="center"/>
    </xf>
    <xf numFmtId="0" fontId="9" fillId="12" borderId="3" xfId="0" applyFont="1" applyFill="1" applyBorder="1" applyAlignment="1">
      <alignment horizontal="center" vertical="center"/>
    </xf>
    <xf numFmtId="0" fontId="28" fillId="0" borderId="1" xfId="0" applyFont="1" applyFill="1" applyBorder="1" applyAlignment="1" applyProtection="1">
      <alignment horizontal="center" vertical="center"/>
      <protection locked="0"/>
    </xf>
    <xf numFmtId="0" fontId="23" fillId="0" borderId="1" xfId="0" applyFont="1" applyFill="1" applyBorder="1" applyAlignment="1" applyProtection="1">
      <alignment horizontal="center" vertical="center"/>
      <protection locked="0"/>
    </xf>
    <xf numFmtId="0" fontId="6" fillId="0" borderId="1" xfId="0" applyFont="1" applyFill="1"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10" fontId="26" fillId="0" borderId="1" xfId="11" applyNumberFormat="1" applyFont="1" applyFill="1" applyBorder="1" applyAlignment="1" applyProtection="1">
      <alignment horizontal="center" vertical="center"/>
      <protection locked="0"/>
    </xf>
    <xf numFmtId="10" fontId="21" fillId="0" borderId="1" xfId="11" applyNumberFormat="1" applyFont="1" applyBorder="1" applyAlignment="1" applyProtection="1">
      <alignment horizontal="center" vertical="center"/>
      <protection locked="0"/>
    </xf>
    <xf numFmtId="1" fontId="26" fillId="0" borderId="1" xfId="11" applyNumberFormat="1" applyFont="1" applyFill="1" applyBorder="1" applyAlignment="1" applyProtection="1">
      <alignment horizontal="center" vertical="center"/>
      <protection locked="0"/>
    </xf>
    <xf numFmtId="10" fontId="6" fillId="0" borderId="1" xfId="11" applyNumberFormat="1" applyFont="1" applyFill="1" applyBorder="1" applyAlignment="1" applyProtection="1">
      <alignment horizontal="center" vertical="center"/>
      <protection locked="0"/>
    </xf>
    <xf numFmtId="10" fontId="21" fillId="0" borderId="1" xfId="11" applyNumberFormat="1" applyFont="1" applyBorder="1" applyAlignment="1" applyProtection="1">
      <alignment horizontal="center"/>
      <protection locked="0"/>
    </xf>
    <xf numFmtId="10" fontId="21" fillId="0" borderId="1" xfId="11" applyNumberFormat="1" applyFont="1" applyFill="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166" fontId="21" fillId="0" borderId="12" xfId="3" applyNumberFormat="1" applyFont="1" applyBorder="1" applyAlignment="1" applyProtection="1">
      <protection locked="0"/>
    </xf>
    <xf numFmtId="166" fontId="28" fillId="0" borderId="13" xfId="3" applyNumberFormat="1" applyFont="1" applyBorder="1" applyAlignment="1" applyProtection="1">
      <alignment horizontal="right"/>
      <protection locked="0"/>
    </xf>
    <xf numFmtId="166" fontId="21" fillId="0" borderId="1" xfId="3" applyNumberFormat="1" applyFont="1" applyBorder="1" applyAlignment="1" applyProtection="1">
      <protection locked="0"/>
    </xf>
    <xf numFmtId="166" fontId="28" fillId="0" borderId="1" xfId="3" applyNumberFormat="1" applyFont="1" applyBorder="1" applyAlignment="1" applyProtection="1">
      <alignment horizontal="right"/>
      <protection locked="0"/>
    </xf>
    <xf numFmtId="10" fontId="21" fillId="0" borderId="1" xfId="11" applyNumberFormat="1" applyFont="1" applyFill="1" applyBorder="1" applyAlignment="1" applyProtection="1">
      <alignment vertical="center"/>
      <protection locked="0"/>
    </xf>
    <xf numFmtId="10" fontId="6" fillId="0" borderId="1" xfId="11" applyNumberFormat="1" applyFont="1" applyFill="1" applyBorder="1" applyAlignment="1" applyProtection="1">
      <alignment horizontal="right" vertical="center"/>
      <protection locked="0"/>
    </xf>
    <xf numFmtId="166" fontId="23" fillId="0" borderId="13" xfId="3" applyNumberFormat="1" applyFont="1" applyBorder="1" applyAlignment="1" applyProtection="1">
      <alignment horizontal="right"/>
      <protection locked="0"/>
    </xf>
    <xf numFmtId="166" fontId="21" fillId="0" borderId="1" xfId="3" applyNumberFormat="1" applyFont="1" applyBorder="1" applyAlignment="1" applyProtection="1">
      <alignment horizontal="center"/>
      <protection locked="0"/>
    </xf>
    <xf numFmtId="166" fontId="28" fillId="0" borderId="1" xfId="3" applyNumberFormat="1" applyFont="1" applyBorder="1" applyAlignment="1" applyProtection="1">
      <alignment horizontal="center"/>
      <protection locked="0"/>
    </xf>
    <xf numFmtId="166" fontId="23" fillId="0" borderId="2" xfId="3" applyNumberFormat="1" applyFont="1" applyBorder="1" applyAlignment="1" applyProtection="1">
      <alignment horizontal="center"/>
      <protection locked="0"/>
    </xf>
    <xf numFmtId="10" fontId="21" fillId="0" borderId="1" xfId="11" applyNumberFormat="1" applyFont="1" applyFill="1" applyBorder="1" applyAlignment="1" applyProtection="1">
      <alignment horizontal="center"/>
      <protection locked="0"/>
    </xf>
    <xf numFmtId="10" fontId="6" fillId="0" borderId="11" xfId="11" applyNumberFormat="1" applyFont="1" applyFill="1" applyBorder="1" applyAlignment="1" applyProtection="1">
      <alignment horizontal="center" vertical="center"/>
      <protection locked="0"/>
    </xf>
    <xf numFmtId="3" fontId="28" fillId="0" borderId="12" xfId="0" applyNumberFormat="1" applyFont="1" applyBorder="1" applyAlignment="1" applyProtection="1">
      <alignment horizontal="center" vertical="center"/>
      <protection locked="0"/>
    </xf>
    <xf numFmtId="0" fontId="23" fillId="0" borderId="6" xfId="0" applyFont="1" applyBorder="1" applyAlignment="1" applyProtection="1">
      <alignment horizontal="left" vertical="center" indent="2"/>
      <protection locked="0"/>
    </xf>
    <xf numFmtId="0" fontId="23" fillId="0" borderId="1" xfId="0" applyFont="1" applyBorder="1" applyAlignment="1" applyProtection="1">
      <alignment horizontal="center" vertical="center"/>
      <protection locked="0"/>
    </xf>
    <xf numFmtId="9" fontId="6" fillId="0" borderId="1" xfId="11" applyFont="1" applyFill="1" applyBorder="1" applyAlignment="1" applyProtection="1">
      <alignment horizontal="center" vertical="center"/>
      <protection locked="0"/>
    </xf>
    <xf numFmtId="10" fontId="6" fillId="8" borderId="1" xfId="0" applyNumberFormat="1" applyFont="1" applyFill="1" applyBorder="1" applyAlignment="1" applyProtection="1">
      <alignment horizontal="center" vertical="center"/>
      <protection locked="0"/>
    </xf>
    <xf numFmtId="0" fontId="2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9" fontId="23" fillId="0" borderId="1" xfId="11" applyFont="1" applyFill="1" applyBorder="1" applyAlignment="1" applyProtection="1">
      <alignment horizontal="center"/>
      <protection locked="0"/>
    </xf>
    <xf numFmtId="0" fontId="23" fillId="0" borderId="1" xfId="0" applyFont="1" applyBorder="1" applyAlignment="1" applyProtection="1">
      <alignment horizontal="center"/>
      <protection locked="0"/>
    </xf>
    <xf numFmtId="10" fontId="23" fillId="0" borderId="1" xfId="11" applyNumberFormat="1" applyFont="1" applyFill="1" applyBorder="1" applyAlignment="1" applyProtection="1">
      <alignment horizontal="center"/>
      <protection locked="0"/>
    </xf>
    <xf numFmtId="0" fontId="6" fillId="0" borderId="1" xfId="0" applyFont="1" applyFill="1" applyBorder="1" applyAlignment="1" applyProtection="1">
      <alignment horizontal="right"/>
      <protection locked="0"/>
    </xf>
    <xf numFmtId="0" fontId="23" fillId="8" borderId="1" xfId="0" applyFont="1" applyFill="1" applyBorder="1" applyAlignment="1" applyProtection="1">
      <alignment horizontal="center"/>
      <protection locked="0"/>
    </xf>
    <xf numFmtId="10" fontId="6" fillId="0" borderId="3" xfId="11" applyNumberFormat="1" applyFont="1" applyFill="1" applyBorder="1" applyAlignment="1" applyProtection="1">
      <alignment horizontal="center" vertical="center"/>
      <protection locked="0"/>
    </xf>
    <xf numFmtId="1" fontId="23" fillId="0" borderId="1" xfId="0" applyNumberFormat="1" applyFont="1" applyBorder="1" applyAlignment="1" applyProtection="1">
      <alignment horizontal="center"/>
      <protection locked="0"/>
    </xf>
    <xf numFmtId="167" fontId="23" fillId="0" borderId="2" xfId="0" applyNumberFormat="1" applyFont="1" applyBorder="1" applyAlignment="1" applyProtection="1">
      <alignment horizontal="center"/>
      <protection locked="0"/>
    </xf>
    <xf numFmtId="167" fontId="23" fillId="0" borderId="1" xfId="0" applyNumberFormat="1" applyFont="1" applyBorder="1" applyAlignment="1" applyProtection="1">
      <alignment horizontal="center"/>
      <protection locked="0"/>
    </xf>
    <xf numFmtId="1" fontId="23" fillId="0" borderId="1" xfId="0" applyNumberFormat="1" applyFont="1" applyFill="1" applyBorder="1" applyAlignment="1" applyProtection="1">
      <alignment horizontal="center"/>
      <protection locked="0"/>
    </xf>
    <xf numFmtId="167" fontId="23" fillId="0" borderId="1" xfId="0" applyNumberFormat="1" applyFont="1" applyFill="1" applyBorder="1" applyAlignment="1" applyProtection="1">
      <alignment horizontal="center"/>
      <protection locked="0"/>
    </xf>
    <xf numFmtId="166" fontId="6" fillId="0" borderId="1" xfId="3" applyNumberFormat="1" applyFont="1" applyFill="1" applyBorder="1" applyAlignment="1" applyProtection="1">
      <alignment horizontal="center" vertical="center"/>
      <protection locked="0"/>
    </xf>
    <xf numFmtId="9" fontId="6" fillId="0" borderId="1" xfId="11" applyFont="1" applyFill="1" applyBorder="1" applyAlignment="1" applyProtection="1">
      <alignment horizontal="center"/>
      <protection locked="0"/>
    </xf>
    <xf numFmtId="0" fontId="6" fillId="12" borderId="2" xfId="0" applyFont="1" applyFill="1" applyBorder="1"/>
    <xf numFmtId="3" fontId="23" fillId="12" borderId="3" xfId="10" applyNumberFormat="1" applyFont="1" applyFill="1" applyBorder="1" applyAlignment="1">
      <alignment horizontal="right"/>
    </xf>
    <xf numFmtId="9" fontId="23" fillId="12" borderId="3" xfId="11" applyFont="1" applyFill="1" applyBorder="1" applyAlignment="1">
      <alignment horizontal="right"/>
    </xf>
    <xf numFmtId="166" fontId="23" fillId="8" borderId="1" xfId="3" applyNumberFormat="1" applyFont="1" applyFill="1" applyBorder="1" applyAlignment="1" applyProtection="1">
      <alignment horizontal="center"/>
      <protection locked="0"/>
    </xf>
    <xf numFmtId="166" fontId="28" fillId="0" borderId="1" xfId="3" applyNumberFormat="1" applyFont="1" applyFill="1" applyBorder="1" applyAlignment="1" applyProtection="1">
      <alignment horizontal="center" vertical="center"/>
      <protection locked="0"/>
    </xf>
    <xf numFmtId="10" fontId="6" fillId="0" borderId="1" xfId="11" applyNumberFormat="1" applyFont="1" applyFill="1" applyBorder="1" applyAlignment="1" applyProtection="1">
      <alignment horizontal="center"/>
      <protection locked="0"/>
    </xf>
    <xf numFmtId="0" fontId="23" fillId="8" borderId="1" xfId="10" applyNumberFormat="1" applyFont="1" applyFill="1" applyBorder="1" applyAlignment="1" applyProtection="1">
      <alignment horizontal="center"/>
      <protection locked="0"/>
    </xf>
    <xf numFmtId="3" fontId="23" fillId="0" borderId="1" xfId="10" applyNumberFormat="1" applyFont="1" applyFill="1" applyBorder="1" applyAlignment="1" applyProtection="1">
      <alignment horizontal="right"/>
      <protection locked="0"/>
    </xf>
    <xf numFmtId="171" fontId="23" fillId="8" borderId="1" xfId="10" applyNumberFormat="1" applyFont="1" applyFill="1" applyBorder="1" applyAlignment="1" applyProtection="1">
      <alignment horizontal="right"/>
      <protection locked="0"/>
    </xf>
    <xf numFmtId="3" fontId="23" fillId="8" borderId="1" xfId="10" applyNumberFormat="1" applyFont="1" applyFill="1" applyBorder="1" applyAlignment="1" applyProtection="1">
      <alignment horizontal="right"/>
      <protection locked="0"/>
    </xf>
    <xf numFmtId="10" fontId="23" fillId="8" borderId="1" xfId="11" applyNumberFormat="1" applyFont="1" applyFill="1" applyBorder="1" applyAlignment="1" applyProtection="1">
      <alignment horizontal="right"/>
      <protection locked="0"/>
    </xf>
    <xf numFmtId="10" fontId="26" fillId="12" borderId="1" xfId="11" applyNumberFormat="1" applyFont="1" applyFill="1" applyBorder="1" applyAlignment="1">
      <alignment horizontal="center"/>
    </xf>
    <xf numFmtId="10" fontId="28" fillId="12" borderId="1" xfId="0" applyNumberFormat="1" applyFont="1" applyFill="1" applyBorder="1" applyAlignment="1">
      <alignment horizontal="center"/>
    </xf>
    <xf numFmtId="10" fontId="28" fillId="12" borderId="1" xfId="11" applyNumberFormat="1" applyFont="1" applyFill="1" applyBorder="1" applyAlignment="1">
      <alignment horizontal="center"/>
    </xf>
    <xf numFmtId="10" fontId="23" fillId="0" borderId="1" xfId="0" applyNumberFormat="1" applyFont="1" applyFill="1" applyBorder="1" applyAlignment="1" applyProtection="1">
      <alignment horizontal="center"/>
      <protection locked="0"/>
    </xf>
    <xf numFmtId="10" fontId="6" fillId="8" borderId="1" xfId="11" applyNumberFormat="1" applyFont="1" applyFill="1" applyBorder="1" applyAlignment="1" applyProtection="1">
      <alignment horizontal="center" vertical="center"/>
      <protection locked="0"/>
    </xf>
    <xf numFmtId="9" fontId="26" fillId="12" borderId="1" xfId="11" applyFont="1" applyFill="1" applyBorder="1" applyAlignment="1" applyProtection="1">
      <alignment horizontal="center"/>
    </xf>
    <xf numFmtId="166" fontId="23" fillId="0" borderId="1" xfId="3" applyNumberFormat="1" applyFont="1" applyBorder="1"/>
    <xf numFmtId="0" fontId="14" fillId="0" borderId="0" xfId="0" applyFont="1" applyAlignment="1">
      <alignment horizontal="left" vertical="center" indent="1"/>
    </xf>
    <xf numFmtId="0" fontId="113" fillId="0" borderId="0" xfId="0" applyFont="1" applyAlignment="1">
      <alignment horizontal="center" vertical="center"/>
    </xf>
    <xf numFmtId="0" fontId="114" fillId="0" borderId="0" xfId="0" applyFont="1"/>
    <xf numFmtId="9" fontId="21" fillId="0" borderId="19" xfId="11" applyFont="1" applyFill="1" applyBorder="1" applyAlignment="1">
      <alignment horizontal="right" vertical="center"/>
    </xf>
    <xf numFmtId="9" fontId="21" fillId="0" borderId="24" xfId="11" applyFont="1" applyFill="1" applyBorder="1" applyAlignment="1">
      <alignment horizontal="right" vertical="center"/>
    </xf>
    <xf numFmtId="0" fontId="12" fillId="6" borderId="49" xfId="0" applyFont="1" applyFill="1" applyBorder="1" applyAlignment="1">
      <alignment horizontal="center"/>
    </xf>
    <xf numFmtId="0" fontId="21" fillId="3" borderId="0" xfId="0" applyFont="1" applyFill="1" applyAlignment="1">
      <alignment horizontal="left" indent="1"/>
    </xf>
    <xf numFmtId="0" fontId="82" fillId="0" borderId="0" xfId="0" applyFont="1" applyAlignment="1">
      <alignment horizontal="left" vertical="center" indent="1"/>
    </xf>
    <xf numFmtId="0" fontId="79" fillId="12" borderId="1" xfId="0" applyFont="1" applyFill="1" applyBorder="1" applyAlignment="1">
      <alignment horizontal="center" vertical="center"/>
    </xf>
    <xf numFmtId="0" fontId="79" fillId="12" borderId="1" xfId="0" applyFont="1" applyFill="1" applyBorder="1" applyAlignment="1">
      <alignment horizontal="center" vertical="center" wrapText="1"/>
    </xf>
    <xf numFmtId="0" fontId="4" fillId="12" borderId="1" xfId="0" applyFont="1" applyFill="1" applyBorder="1" applyAlignment="1">
      <alignment horizontal="center" vertical="center"/>
    </xf>
    <xf numFmtId="0" fontId="4" fillId="12" borderId="1" xfId="0" applyFont="1" applyFill="1" applyBorder="1" applyAlignment="1">
      <alignment horizontal="center" vertical="center" wrapText="1"/>
    </xf>
    <xf numFmtId="0" fontId="115" fillId="0" borderId="0" xfId="0" applyFont="1"/>
    <xf numFmtId="0" fontId="21" fillId="0" borderId="0" xfId="0" applyFont="1" applyAlignment="1">
      <alignment horizontal="left" indent="2"/>
    </xf>
    <xf numFmtId="0" fontId="71" fillId="0" borderId="0" xfId="0" applyFont="1" applyAlignment="1">
      <alignment horizontal="left" indent="1"/>
    </xf>
    <xf numFmtId="0" fontId="82" fillId="0" borderId="1" xfId="0" applyFont="1" applyBorder="1" applyAlignment="1">
      <alignment horizontal="right" vertical="center" wrapText="1"/>
    </xf>
    <xf numFmtId="0" fontId="82" fillId="12" borderId="1" xfId="0" applyFont="1" applyFill="1" applyBorder="1" applyAlignment="1">
      <alignment horizontal="center" vertical="center" wrapText="1"/>
    </xf>
    <xf numFmtId="3" fontId="4" fillId="12" borderId="1" xfId="0" applyNumberFormat="1" applyFont="1" applyFill="1" applyBorder="1" applyAlignment="1">
      <alignment horizontal="center"/>
    </xf>
    <xf numFmtId="0" fontId="12" fillId="12" borderId="1" xfId="0" applyFont="1" applyFill="1" applyBorder="1" applyAlignment="1">
      <alignment horizontal="left" vertical="center" wrapText="1" indent="3"/>
    </xf>
    <xf numFmtId="0" fontId="12" fillId="12" borderId="1" xfId="0" applyFont="1" applyFill="1" applyBorder="1" applyAlignment="1">
      <alignment horizontal="left" indent="3"/>
    </xf>
    <xf numFmtId="0" fontId="21" fillId="0" borderId="0" xfId="0" applyFont="1" applyAlignment="1">
      <alignment horizontal="left" indent="1"/>
    </xf>
    <xf numFmtId="0" fontId="12" fillId="0" borderId="1" xfId="0" applyFont="1" applyBorder="1" applyAlignment="1">
      <alignment horizontal="left" vertical="center" wrapText="1" indent="3"/>
    </xf>
    <xf numFmtId="0" fontId="21" fillId="0" borderId="0" xfId="0" applyFont="1" applyAlignment="1">
      <alignment horizontal="left" vertical="center" indent="1"/>
    </xf>
    <xf numFmtId="3" fontId="11" fillId="12" borderId="1" xfId="0" applyNumberFormat="1" applyFont="1" applyFill="1" applyBorder="1" applyAlignment="1">
      <alignment horizontal="center"/>
    </xf>
    <xf numFmtId="0" fontId="4" fillId="12" borderId="0" xfId="0" applyFont="1" applyFill="1"/>
    <xf numFmtId="0" fontId="4" fillId="12" borderId="0" xfId="0" applyFont="1" applyFill="1" applyAlignment="1">
      <alignment horizontal="center"/>
    </xf>
    <xf numFmtId="0" fontId="21" fillId="12" borderId="0" xfId="0" applyFont="1" applyFill="1" applyAlignment="1">
      <alignment horizontal="left" vertical="center" indent="1"/>
    </xf>
    <xf numFmtId="3" fontId="12" fillId="12" borderId="1" xfId="0" applyNumberFormat="1" applyFont="1" applyFill="1" applyBorder="1" applyAlignment="1">
      <alignment horizontal="center"/>
    </xf>
    <xf numFmtId="3" fontId="82" fillId="14" borderId="1" xfId="0" applyNumberFormat="1" applyFont="1" applyFill="1" applyBorder="1" applyAlignment="1">
      <alignment horizontal="center"/>
    </xf>
    <xf numFmtId="0" fontId="11" fillId="12" borderId="1" xfId="0" applyFont="1" applyFill="1" applyBorder="1" applyAlignment="1">
      <alignment horizontal="left" indent="1"/>
    </xf>
    <xf numFmtId="0" fontId="11" fillId="12" borderId="1" xfId="0" applyFont="1" applyFill="1" applyBorder="1" applyAlignment="1">
      <alignment horizontal="left" indent="2"/>
    </xf>
    <xf numFmtId="3" fontId="82" fillId="12" borderId="1" xfId="0" applyNumberFormat="1" applyFont="1" applyFill="1" applyBorder="1" applyAlignment="1">
      <alignment horizontal="center"/>
    </xf>
    <xf numFmtId="165" fontId="82" fillId="14" borderId="1" xfId="11" applyNumberFormat="1" applyFont="1" applyFill="1" applyBorder="1" applyAlignment="1">
      <alignment horizontal="center"/>
    </xf>
    <xf numFmtId="0" fontId="82" fillId="0" borderId="0" xfId="0" quotePrefix="1" applyFont="1" applyAlignment="1">
      <alignment horizontal="left" indent="1"/>
    </xf>
    <xf numFmtId="0" fontId="79" fillId="0" borderId="0" xfId="0" applyFont="1" applyAlignment="1">
      <alignment horizontal="center"/>
    </xf>
    <xf numFmtId="0" fontId="12" fillId="15" borderId="0" xfId="0" applyFont="1" applyFill="1"/>
    <xf numFmtId="0" fontId="4" fillId="15" borderId="0" xfId="0" applyFont="1" applyFill="1" applyAlignment="1">
      <alignment horizontal="center"/>
    </xf>
    <xf numFmtId="0" fontId="4" fillId="15" borderId="0" xfId="0" applyFont="1" applyFill="1"/>
    <xf numFmtId="0" fontId="79" fillId="15" borderId="1" xfId="0" applyFont="1" applyFill="1" applyBorder="1" applyAlignment="1">
      <alignment horizontal="right"/>
    </xf>
    <xf numFmtId="0" fontId="79" fillId="15" borderId="1" xfId="0" applyFont="1" applyFill="1" applyBorder="1" applyAlignment="1">
      <alignment horizontal="center"/>
    </xf>
    <xf numFmtId="0" fontId="4" fillId="15" borderId="1" xfId="0" applyFont="1" applyFill="1" applyBorder="1" applyAlignment="1">
      <alignment horizontal="left" indent="1"/>
    </xf>
    <xf numFmtId="0" fontId="4" fillId="15" borderId="1" xfId="0" applyFont="1" applyFill="1" applyBorder="1" applyAlignment="1">
      <alignment horizontal="center"/>
    </xf>
    <xf numFmtId="0" fontId="4" fillId="15" borderId="1" xfId="0" applyFont="1" applyFill="1" applyBorder="1" applyAlignment="1">
      <alignment horizontal="left" indent="2"/>
    </xf>
    <xf numFmtId="0" fontId="25" fillId="15" borderId="1" xfId="0" applyFont="1" applyFill="1" applyBorder="1" applyAlignment="1">
      <alignment horizontal="center"/>
    </xf>
    <xf numFmtId="2" fontId="4" fillId="15" borderId="1" xfId="0" applyNumberFormat="1" applyFont="1" applyFill="1" applyBorder="1" applyAlignment="1">
      <alignment horizontal="center"/>
    </xf>
    <xf numFmtId="2" fontId="89" fillId="15" borderId="1" xfId="0" applyNumberFormat="1" applyFont="1" applyFill="1" applyBorder="1" applyAlignment="1">
      <alignment horizontal="center"/>
    </xf>
    <xf numFmtId="0" fontId="25" fillId="15" borderId="1" xfId="0" applyFont="1" applyFill="1" applyBorder="1" applyAlignment="1">
      <alignment horizontal="left" indent="2"/>
    </xf>
    <xf numFmtId="165" fontId="25" fillId="15" borderId="1" xfId="11" applyNumberFormat="1" applyFont="1" applyFill="1" applyBorder="1" applyAlignment="1">
      <alignment horizontal="center"/>
    </xf>
    <xf numFmtId="0" fontId="79" fillId="0" borderId="0" xfId="0" applyFont="1" applyAlignment="1">
      <alignment horizontal="left" indent="1"/>
    </xf>
    <xf numFmtId="0" fontId="12" fillId="0" borderId="0" xfId="0" applyFont="1" applyAlignment="1">
      <alignment horizontal="left" wrapText="1"/>
    </xf>
    <xf numFmtId="0" fontId="119" fillId="16" borderId="0" xfId="0" applyFont="1" applyFill="1"/>
    <xf numFmtId="0" fontId="19" fillId="16" borderId="0" xfId="0" applyFont="1" applyFill="1" applyAlignment="1">
      <alignment horizontal="center"/>
    </xf>
    <xf numFmtId="0" fontId="19" fillId="16" borderId="0" xfId="0" applyFont="1" applyFill="1"/>
    <xf numFmtId="0" fontId="120" fillId="16" borderId="1" xfId="0" applyFont="1" applyFill="1" applyBorder="1" applyAlignment="1">
      <alignment horizontal="left" indent="1"/>
    </xf>
    <xf numFmtId="0" fontId="5" fillId="16" borderId="0" xfId="0" applyFont="1" applyFill="1"/>
    <xf numFmtId="0" fontId="15" fillId="16" borderId="1" xfId="0" applyFont="1" applyFill="1" applyBorder="1" applyAlignment="1">
      <alignment vertical="center"/>
    </xf>
    <xf numFmtId="0" fontId="81" fillId="16" borderId="1" xfId="0" applyFont="1" applyFill="1" applyBorder="1" applyAlignment="1">
      <alignment horizontal="left" vertical="center" wrapText="1" indent="1"/>
    </xf>
    <xf numFmtId="0" fontId="14" fillId="16" borderId="1" xfId="0" applyFont="1" applyFill="1" applyBorder="1" applyAlignment="1">
      <alignment horizontal="left" vertical="center" indent="1"/>
    </xf>
    <xf numFmtId="0" fontId="81" fillId="16" borderId="1" xfId="0" applyFont="1" applyFill="1" applyBorder="1" applyAlignment="1">
      <alignment horizontal="center"/>
    </xf>
    <xf numFmtId="0" fontId="15" fillId="16" borderId="1" xfId="0" applyFont="1" applyFill="1" applyBorder="1" applyAlignment="1">
      <alignment horizontal="right" vertical="center"/>
    </xf>
    <xf numFmtId="9" fontId="5" fillId="14" borderId="60" xfId="12" applyFont="1" applyFill="1" applyBorder="1" applyAlignment="1">
      <alignment horizontal="center"/>
    </xf>
    <xf numFmtId="0" fontId="81" fillId="16" borderId="0" xfId="0" quotePrefix="1" applyFont="1" applyFill="1"/>
    <xf numFmtId="0" fontId="121" fillId="16" borderId="1" xfId="0" applyFont="1" applyFill="1" applyBorder="1" applyAlignment="1">
      <alignment horizontal="left" vertical="center" indent="1"/>
    </xf>
    <xf numFmtId="0" fontId="4" fillId="0" borderId="18" xfId="0" applyFont="1" applyBorder="1" applyAlignment="1">
      <alignment horizontal="right" indent="1"/>
    </xf>
    <xf numFmtId="3" fontId="4" fillId="12" borderId="1" xfId="0" applyNumberFormat="1" applyFont="1" applyFill="1" applyBorder="1" applyAlignment="1">
      <alignment horizontal="right" indent="1"/>
    </xf>
    <xf numFmtId="0" fontId="79" fillId="0" borderId="6" xfId="0" applyFont="1" applyBorder="1" applyAlignment="1">
      <alignment horizontal="left" indent="1"/>
    </xf>
    <xf numFmtId="3" fontId="11" fillId="0" borderId="1" xfId="0" applyNumberFormat="1" applyFont="1" applyBorder="1" applyAlignment="1">
      <alignment horizontal="right" indent="1"/>
    </xf>
    <xf numFmtId="0" fontId="87" fillId="0" borderId="0" xfId="0" applyFont="1" applyAlignment="1">
      <alignment horizontal="left" vertical="center" indent="1"/>
    </xf>
    <xf numFmtId="3" fontId="4" fillId="0" borderId="1" xfId="0" applyNumberFormat="1" applyFont="1" applyBorder="1" applyAlignment="1">
      <alignment horizontal="right" indent="1"/>
    </xf>
    <xf numFmtId="0" fontId="4" fillId="0" borderId="1" xfId="0" applyFont="1" applyBorder="1" applyAlignment="1">
      <alignment horizontal="right"/>
    </xf>
    <xf numFmtId="0" fontId="79" fillId="0" borderId="6" xfId="0" applyFont="1" applyBorder="1" applyAlignment="1">
      <alignment horizontal="left" indent="3"/>
    </xf>
    <xf numFmtId="3" fontId="79" fillId="0" borderId="1" xfId="0" applyNumberFormat="1" applyFont="1" applyBorder="1" applyAlignment="1">
      <alignment horizontal="right" indent="1"/>
    </xf>
    <xf numFmtId="0" fontId="4" fillId="12" borderId="6" xfId="0" applyFont="1" applyFill="1" applyBorder="1" applyAlignment="1">
      <alignment horizontal="left" indent="3"/>
    </xf>
    <xf numFmtId="0" fontId="4" fillId="12" borderId="1" xfId="0" applyFont="1" applyFill="1" applyBorder="1" applyAlignment="1">
      <alignment horizontal="center"/>
    </xf>
    <xf numFmtId="0" fontId="11" fillId="12" borderId="1" xfId="0" applyFont="1" applyFill="1" applyBorder="1" applyAlignment="1">
      <alignment horizontal="left" indent="3"/>
    </xf>
    <xf numFmtId="0" fontId="4" fillId="12" borderId="6" xfId="0" applyFont="1" applyFill="1" applyBorder="1" applyAlignment="1">
      <alignment horizontal="left" indent="1"/>
    </xf>
    <xf numFmtId="0" fontId="17" fillId="0" borderId="0" xfId="0" applyFont="1"/>
    <xf numFmtId="0" fontId="12" fillId="15" borderId="0" xfId="0" applyFont="1" applyFill="1" applyAlignment="1">
      <alignment horizontal="center"/>
    </xf>
    <xf numFmtId="0" fontId="88" fillId="15" borderId="1" xfId="0" applyFont="1" applyFill="1" applyBorder="1" applyAlignment="1">
      <alignment horizontal="right" vertical="center"/>
    </xf>
    <xf numFmtId="0" fontId="88" fillId="15" borderId="1" xfId="0" applyFont="1" applyFill="1" applyBorder="1" applyAlignment="1">
      <alignment horizontal="center" vertical="center" wrapText="1"/>
    </xf>
    <xf numFmtId="0" fontId="88" fillId="15" borderId="1" xfId="0" applyFont="1" applyFill="1" applyBorder="1" applyAlignment="1">
      <alignment horizontal="right"/>
    </xf>
    <xf numFmtId="166" fontId="88" fillId="15" borderId="1" xfId="3" applyNumberFormat="1" applyFont="1" applyFill="1" applyBorder="1" applyAlignment="1">
      <alignment horizontal="center"/>
    </xf>
    <xf numFmtId="0" fontId="88" fillId="15" borderId="1" xfId="0" applyFont="1" applyFill="1" applyBorder="1" applyAlignment="1">
      <alignment horizontal="center"/>
    </xf>
    <xf numFmtId="0" fontId="88" fillId="15" borderId="14" xfId="0" applyFont="1" applyFill="1" applyBorder="1" applyAlignment="1">
      <alignment horizontal="right"/>
    </xf>
    <xf numFmtId="0" fontId="88" fillId="15" borderId="14" xfId="0" applyFont="1" applyFill="1" applyBorder="1" applyAlignment="1">
      <alignment horizontal="center"/>
    </xf>
    <xf numFmtId="0" fontId="4" fillId="15" borderId="0" xfId="0" quotePrefix="1" applyFont="1" applyFill="1"/>
    <xf numFmtId="0" fontId="122" fillId="15" borderId="45" xfId="0" applyFont="1" applyFill="1" applyBorder="1" applyAlignment="1">
      <alignment horizontal="left" indent="1"/>
    </xf>
    <xf numFmtId="0" fontId="122" fillId="15" borderId="45" xfId="0" applyFont="1" applyFill="1" applyBorder="1" applyAlignment="1">
      <alignment horizontal="center" vertical="center"/>
    </xf>
    <xf numFmtId="0" fontId="88" fillId="15" borderId="1" xfId="0" applyFont="1" applyFill="1" applyBorder="1" applyAlignment="1">
      <alignment horizontal="left" indent="1"/>
    </xf>
    <xf numFmtId="165" fontId="88" fillId="15" borderId="1" xfId="11" applyNumberFormat="1" applyFont="1" applyFill="1" applyBorder="1" applyAlignment="1">
      <alignment horizontal="center"/>
    </xf>
    <xf numFmtId="0" fontId="12" fillId="15" borderId="1" xfId="0" applyFont="1" applyFill="1" applyBorder="1" applyAlignment="1">
      <alignment horizontal="left" indent="1"/>
    </xf>
    <xf numFmtId="0" fontId="12" fillId="15" borderId="1" xfId="0" applyFont="1" applyFill="1" applyBorder="1" applyAlignment="1">
      <alignment horizontal="center"/>
    </xf>
    <xf numFmtId="0" fontId="26" fillId="3" borderId="6" xfId="0" applyFont="1" applyFill="1" applyBorder="1" applyAlignment="1">
      <alignment vertical="center" wrapText="1"/>
    </xf>
    <xf numFmtId="10" fontId="7" fillId="8" borderId="1" xfId="11" applyNumberFormat="1" applyFont="1" applyFill="1" applyBorder="1" applyAlignment="1" applyProtection="1">
      <alignment horizontal="center" vertical="center"/>
      <protection locked="0"/>
    </xf>
    <xf numFmtId="0" fontId="26" fillId="0" borderId="0" xfId="0" applyFont="1" applyAlignment="1">
      <alignment horizontal="right"/>
    </xf>
    <xf numFmtId="0" fontId="28" fillId="0" borderId="0" xfId="0" applyFont="1" applyAlignment="1">
      <alignment horizontal="right"/>
    </xf>
    <xf numFmtId="0" fontId="23" fillId="0" borderId="6" xfId="0" applyFont="1" applyBorder="1" applyAlignment="1" applyProtection="1">
      <alignment vertical="center"/>
      <protection locked="0"/>
    </xf>
    <xf numFmtId="0" fontId="41" fillId="0" borderId="3" xfId="0" applyFont="1" applyBorder="1" applyAlignment="1" applyProtection="1">
      <alignment vertical="center"/>
      <protection locked="0"/>
    </xf>
    <xf numFmtId="0" fontId="41" fillId="0" borderId="2" xfId="0" applyFont="1" applyBorder="1" applyAlignment="1" applyProtection="1">
      <alignment vertical="center"/>
      <protection locked="0"/>
    </xf>
    <xf numFmtId="0" fontId="90" fillId="12" borderId="53" xfId="0" applyFont="1" applyFill="1" applyBorder="1" applyAlignment="1">
      <alignment horizontal="left" vertical="center" indent="1"/>
    </xf>
    <xf numFmtId="0" fontId="90" fillId="12" borderId="22" xfId="0" applyFont="1" applyFill="1" applyBorder="1" applyAlignment="1">
      <alignment horizontal="left" vertical="center" indent="1"/>
    </xf>
    <xf numFmtId="166" fontId="14" fillId="12" borderId="20" xfId="3" applyNumberFormat="1" applyFont="1" applyFill="1" applyBorder="1" applyAlignment="1">
      <alignment horizontal="left" vertical="center" wrapText="1"/>
    </xf>
    <xf numFmtId="166" fontId="14" fillId="12" borderId="16" xfId="3" applyNumberFormat="1" applyFont="1" applyFill="1" applyBorder="1" applyAlignment="1">
      <alignment horizontal="left" vertical="center" wrapText="1"/>
    </xf>
    <xf numFmtId="166" fontId="14" fillId="12" borderId="17" xfId="3" applyNumberFormat="1" applyFont="1" applyFill="1" applyBorder="1" applyAlignment="1">
      <alignment horizontal="left" vertical="center" wrapText="1"/>
    </xf>
    <xf numFmtId="166" fontId="14" fillId="12" borderId="13" xfId="3" applyNumberFormat="1" applyFont="1" applyFill="1" applyBorder="1" applyAlignment="1">
      <alignment horizontal="left" vertical="center" wrapText="1"/>
    </xf>
    <xf numFmtId="0" fontId="23" fillId="0" borderId="3" xfId="0" applyFont="1" applyFill="1" applyBorder="1" applyAlignment="1">
      <alignment horizontal="left" vertical="center" wrapText="1" indent="1"/>
    </xf>
    <xf numFmtId="0" fontId="23" fillId="0" borderId="2" xfId="0" applyFont="1" applyFill="1" applyBorder="1" applyAlignment="1">
      <alignment horizontal="left" vertical="center" wrapText="1" indent="1"/>
    </xf>
    <xf numFmtId="0" fontId="23" fillId="11" borderId="6" xfId="0" applyFont="1" applyFill="1" applyBorder="1" applyAlignment="1">
      <alignment horizontal="left" vertical="center" wrapText="1" indent="1"/>
    </xf>
    <xf numFmtId="0" fontId="23" fillId="11" borderId="3" xfId="0" applyFont="1" applyFill="1" applyBorder="1" applyAlignment="1">
      <alignment horizontal="left" vertical="center" wrapText="1" indent="1"/>
    </xf>
    <xf numFmtId="0" fontId="23" fillId="11" borderId="2" xfId="0" applyFont="1" applyFill="1" applyBorder="1" applyAlignment="1">
      <alignment horizontal="left" vertical="center" wrapText="1" indent="1"/>
    </xf>
    <xf numFmtId="0" fontId="29" fillId="0" borderId="0" xfId="0" applyFont="1" applyAlignment="1">
      <alignment vertical="center" wrapText="1"/>
    </xf>
    <xf numFmtId="0" fontId="29" fillId="0" borderId="33" xfId="0" applyFont="1" applyBorder="1" applyAlignment="1">
      <alignment horizontal="left" vertical="center" wrapText="1"/>
    </xf>
    <xf numFmtId="0" fontId="11" fillId="0" borderId="59" xfId="0" applyFont="1" applyBorder="1" applyAlignment="1">
      <alignment horizontal="justify" vertical="center" wrapText="1"/>
    </xf>
    <xf numFmtId="0" fontId="11" fillId="0" borderId="0" xfId="0" applyFont="1" applyAlignment="1">
      <alignment horizontal="justify" vertical="center" wrapText="1"/>
    </xf>
    <xf numFmtId="0" fontId="4" fillId="0" borderId="58" xfId="0" applyFont="1" applyBorder="1" applyAlignment="1">
      <alignment horizontal="left" vertical="center" wrapText="1" indent="1"/>
    </xf>
    <xf numFmtId="0" fontId="12" fillId="6" borderId="47" xfId="0" applyFont="1" applyFill="1" applyBorder="1" applyAlignment="1">
      <alignment horizontal="center"/>
    </xf>
    <xf numFmtId="0" fontId="12" fillId="6" borderId="48" xfId="0" applyFont="1" applyFill="1" applyBorder="1" applyAlignment="1">
      <alignment horizontal="center"/>
    </xf>
    <xf numFmtId="0" fontId="12" fillId="6" borderId="49" xfId="0" applyFont="1" applyFill="1" applyBorder="1" applyAlignment="1">
      <alignment horizontal="center"/>
    </xf>
    <xf numFmtId="0" fontId="4" fillId="12" borderId="6" xfId="0" applyFont="1" applyFill="1" applyBorder="1" applyAlignment="1">
      <alignment horizontal="center" vertical="center"/>
    </xf>
    <xf numFmtId="0" fontId="0" fillId="0" borderId="2" xfId="0" applyBorder="1" applyAlignment="1">
      <alignment horizontal="center" vertical="center"/>
    </xf>
    <xf numFmtId="0" fontId="4"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12" fillId="6" borderId="58" xfId="0" applyFont="1" applyFill="1" applyBorder="1" applyAlignment="1">
      <alignment horizontal="center"/>
    </xf>
    <xf numFmtId="0" fontId="80" fillId="16" borderId="33" xfId="0" applyFont="1" applyFill="1" applyBorder="1" applyAlignment="1">
      <alignment horizontal="distributed" vertical="center" indent="1"/>
    </xf>
  </cellXfs>
  <cellStyles count="13">
    <cellStyle name="Comma" xfId="3" xr:uid="{00000000-0005-0000-0000-000000000000}"/>
    <cellStyle name="Comma [0]" xfId="4" xr:uid="{00000000-0005-0000-0000-000001000000}"/>
    <cellStyle name="Comma 2" xfId="7" xr:uid="{00000000-0005-0000-0000-000002000000}"/>
    <cellStyle name="Currency" xfId="1" xr:uid="{00000000-0005-0000-0000-000003000000}"/>
    <cellStyle name="Currency [0]" xfId="2" xr:uid="{00000000-0005-0000-0000-000004000000}"/>
    <cellStyle name="Normal" xfId="0" builtinId="0"/>
    <cellStyle name="Normal 2" xfId="9" xr:uid="{00000000-0005-0000-0000-000006000000}"/>
    <cellStyle name="Normal 2 2 2" xfId="10" xr:uid="{00000000-0005-0000-0000-000007000000}"/>
    <cellStyle name="Normal 2 2 2 2" xfId="5" xr:uid="{00000000-0005-0000-0000-000008000000}"/>
    <cellStyle name="Percent" xfId="11" xr:uid="{00000000-0005-0000-0000-000009000000}"/>
    <cellStyle name="Percent 2" xfId="6" xr:uid="{00000000-0005-0000-0000-00000A000000}"/>
    <cellStyle name="Percent 2 2 2" xfId="8" xr:uid="{00000000-0005-0000-0000-00000B000000}"/>
    <cellStyle name="Percentagem" xfId="12" builtinId="5"/>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0</xdr:colOff>
      <xdr:row>1</xdr:row>
      <xdr:rowOff>71437</xdr:rowOff>
    </xdr:from>
    <xdr:to>
      <xdr:col>12</xdr:col>
      <xdr:colOff>202661</xdr:colOff>
      <xdr:row>5</xdr:row>
      <xdr:rowOff>0</xdr:rowOff>
    </xdr:to>
    <xdr:sp macro="" textlink="">
      <xdr:nvSpPr>
        <xdr:cNvPr id="3" name="Title 2">
          <a:extLst>
            <a:ext uri="{FF2B5EF4-FFF2-40B4-BE49-F238E27FC236}">
              <a16:creationId xmlns:a16="http://schemas.microsoft.com/office/drawing/2014/main" id="{00000000-0008-0000-0000-000003000000}"/>
            </a:ext>
          </a:extLst>
        </xdr:cNvPr>
        <xdr:cNvSpPr/>
      </xdr:nvSpPr>
      <xdr:spPr bwMode="auto">
        <a:xfrm>
          <a:off x="488156" y="261937"/>
          <a:ext cx="6274849" cy="732631"/>
        </a:xfrm>
        <a:prstGeom prst="rect">
          <a:avLst/>
        </a:prstGeom>
        <a:noFill/>
        <a:ln w="9525">
          <a:noFill/>
        </a:ln>
        <a:effectLst/>
      </xdr:spPr>
      <xdr:txBody>
        <a:bodyPr vert="horz" wrap="square" lIns="91440" tIns="45720" rIns="91440" bIns="45720" numCol="1" anchor="ctr" anchorCtr="0" compatLnSpc="1">
          <a:prstTxWarp prst="textNoShape">
            <a:avLst/>
          </a:prstTxWarp>
        </a:bodyPr>
        <a:lstStyle>
          <a:lvl1pPr algn="l" rtl="0" eaLnBrk="1" fontAlgn="base" hangingPunct="1">
            <a:spcBef>
              <a:spcPct val="0"/>
            </a:spcBef>
            <a:spcAft>
              <a:spcPct val="0"/>
            </a:spcAft>
            <a:defRPr sz="1800" b="1" baseline="0">
              <a:solidFill>
                <a:schemeClr val="tx1"/>
              </a:solidFill>
              <a:latin typeface="Arial" panose="020B0604020202020204" pitchFamily="34" charset="0"/>
              <a:ea typeface="+mj-ea"/>
              <a:cs typeface="Arial" panose="020B0604020202020204" pitchFamily="34" charset="0"/>
            </a:defRPr>
          </a:lvl1pPr>
          <a:lvl2pPr algn="r" rtl="0" eaLnBrk="1" fontAlgn="base" hangingPunct="1">
            <a:spcBef>
              <a:spcPct val="0"/>
            </a:spcBef>
            <a:spcAft>
              <a:spcPct val="0"/>
            </a:spcAft>
            <a:defRPr sz="2000" b="1">
              <a:solidFill>
                <a:srgbClr val="333333"/>
              </a:solidFill>
              <a:latin typeface="Trebuchet MS" pitchFamily="34" charset="0"/>
            </a:defRPr>
          </a:lvl2pPr>
          <a:lvl3pPr algn="r" rtl="0" eaLnBrk="1" fontAlgn="base" hangingPunct="1">
            <a:spcBef>
              <a:spcPct val="0"/>
            </a:spcBef>
            <a:spcAft>
              <a:spcPct val="0"/>
            </a:spcAft>
            <a:defRPr sz="2000" b="1">
              <a:solidFill>
                <a:srgbClr val="333333"/>
              </a:solidFill>
              <a:latin typeface="Trebuchet MS" pitchFamily="34" charset="0"/>
            </a:defRPr>
          </a:lvl3pPr>
          <a:lvl4pPr algn="r" rtl="0" eaLnBrk="1" fontAlgn="base" hangingPunct="1">
            <a:spcBef>
              <a:spcPct val="0"/>
            </a:spcBef>
            <a:spcAft>
              <a:spcPct val="0"/>
            </a:spcAft>
            <a:defRPr sz="2000" b="1">
              <a:solidFill>
                <a:srgbClr val="333333"/>
              </a:solidFill>
              <a:latin typeface="Trebuchet MS" pitchFamily="34" charset="0"/>
            </a:defRPr>
          </a:lvl4pPr>
          <a:lvl5pPr algn="r" rtl="0" eaLnBrk="1" fontAlgn="base" hangingPunct="1">
            <a:spcBef>
              <a:spcPct val="0"/>
            </a:spcBef>
            <a:spcAft>
              <a:spcPct val="0"/>
            </a:spcAft>
            <a:defRPr sz="2000" b="1">
              <a:solidFill>
                <a:srgbClr val="333333"/>
              </a:solidFill>
              <a:latin typeface="Trebuchet MS" pitchFamily="34" charset="0"/>
            </a:defRPr>
          </a:lvl5pPr>
          <a:lvl6pPr marL="457200" algn="r" rtl="0" eaLnBrk="1" fontAlgn="base" hangingPunct="1">
            <a:spcBef>
              <a:spcPct val="0"/>
            </a:spcBef>
            <a:spcAft>
              <a:spcPct val="0"/>
            </a:spcAft>
            <a:defRPr sz="2000" b="1">
              <a:solidFill>
                <a:srgbClr val="333333"/>
              </a:solidFill>
              <a:latin typeface="Trebuchet MS" pitchFamily="34" charset="0"/>
            </a:defRPr>
          </a:lvl6pPr>
          <a:lvl7pPr marL="914400" algn="r" rtl="0" eaLnBrk="1" fontAlgn="base" hangingPunct="1">
            <a:spcBef>
              <a:spcPct val="0"/>
            </a:spcBef>
            <a:spcAft>
              <a:spcPct val="0"/>
            </a:spcAft>
            <a:defRPr sz="2000" b="1">
              <a:solidFill>
                <a:srgbClr val="333333"/>
              </a:solidFill>
              <a:latin typeface="Trebuchet MS" pitchFamily="34" charset="0"/>
            </a:defRPr>
          </a:lvl7pPr>
          <a:lvl8pPr marL="1371600" algn="r" rtl="0" eaLnBrk="1" fontAlgn="base" hangingPunct="1">
            <a:spcBef>
              <a:spcPct val="0"/>
            </a:spcBef>
            <a:spcAft>
              <a:spcPct val="0"/>
            </a:spcAft>
            <a:defRPr sz="2000" b="1">
              <a:solidFill>
                <a:srgbClr val="333333"/>
              </a:solidFill>
              <a:latin typeface="Trebuchet MS" pitchFamily="34" charset="0"/>
            </a:defRPr>
          </a:lvl8pPr>
          <a:lvl9pPr marL="1828800" algn="r" rtl="0" eaLnBrk="1" fontAlgn="base" hangingPunct="1">
            <a:spcBef>
              <a:spcPct val="0"/>
            </a:spcBef>
            <a:spcAft>
              <a:spcPct val="0"/>
            </a:spcAft>
            <a:defRPr sz="2000" b="1">
              <a:solidFill>
                <a:srgbClr val="333333"/>
              </a:solidFill>
              <a:latin typeface="Trebuchet MS" pitchFamily="34" charset="0"/>
            </a:defRPr>
          </a:lvl9pPr>
        </a:lstStyle>
        <a:p>
          <a:r>
            <a:rPr lang="pt-PT" sz="2000"/>
            <a:t>&lt;LOGO EMPRESA&gt;</a:t>
          </a:r>
        </a:p>
      </xdr:txBody>
    </xdr:sp>
    <xdr:clientData/>
  </xdr:twoCellAnchor>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6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1719470</xdr:colOff>
      <xdr:row>115</xdr:row>
      <xdr:rowOff>31874</xdr:rowOff>
    </xdr:to>
    <xdr:pic>
      <xdr:nvPicPr>
        <xdr:cNvPr id="4" name="Imagem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085" y="45299415"/>
          <a:ext cx="5545284" cy="4461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9525</xdr:colOff>
          <xdr:row>40</xdr:row>
          <xdr:rowOff>381000</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40</xdr:row>
          <xdr:rowOff>381000</xdr:rowOff>
        </xdr:from>
        <xdr:to>
          <xdr:col>3</xdr:col>
          <xdr:colOff>0</xdr:colOff>
          <xdr:row>41</xdr:row>
          <xdr:rowOff>381000</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274</xdr:row>
          <xdr:rowOff>0</xdr:rowOff>
        </xdr:from>
        <xdr:to>
          <xdr:col>2</xdr:col>
          <xdr:colOff>3924300</xdr:colOff>
          <xdr:row>274</xdr:row>
          <xdr:rowOff>381000</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275</xdr:row>
          <xdr:rowOff>0</xdr:rowOff>
        </xdr:from>
        <xdr:to>
          <xdr:col>2</xdr:col>
          <xdr:colOff>3924300</xdr:colOff>
          <xdr:row>276</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Remover empréstimos</a:t>
              </a:r>
            </a:p>
          </xdr:txBody>
        </xdr:sp>
        <xdr:clientData/>
      </xdr:twoCellAnchor>
    </mc:Choice>
    <mc:Fallback/>
  </mc:AlternateContent>
  <xdr:twoCellAnchor editAs="oneCell">
    <xdr:from>
      <xdr:col>2</xdr:col>
      <xdr:colOff>34985</xdr:colOff>
      <xdr:row>314</xdr:row>
      <xdr:rowOff>138215</xdr:rowOff>
    </xdr:from>
    <xdr:to>
      <xdr:col>2</xdr:col>
      <xdr:colOff>5399294</xdr:colOff>
      <xdr:row>317</xdr:row>
      <xdr:rowOff>117598</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3298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180975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285750</xdr:colOff>
      <xdr:row>77</xdr:row>
      <xdr:rowOff>133349</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131</xdr:row>
      <xdr:rowOff>138215</xdr:rowOff>
    </xdr:from>
    <xdr:to>
      <xdr:col>7</xdr:col>
      <xdr:colOff>246269</xdr:colOff>
      <xdr:row>135</xdr:row>
      <xdr:rowOff>12823</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428625</xdr:colOff>
      <xdr:row>50</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37</xdr:row>
      <xdr:rowOff>54872</xdr:rowOff>
    </xdr:from>
    <xdr:to>
      <xdr:col>2</xdr:col>
      <xdr:colOff>4200525</xdr:colOff>
      <xdr:row>39</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2" name="Conector de Seta Reta 2">
          <a:extLst>
            <a:ext uri="{FF2B5EF4-FFF2-40B4-BE49-F238E27FC236}">
              <a16:creationId xmlns:a16="http://schemas.microsoft.com/office/drawing/2014/main" id="{00000000-0008-0000-0E00-000002000000}"/>
            </a:ext>
          </a:extLst>
        </xdr:cNvPr>
        <xdr:cNvCxnSpPr/>
      </xdr:nvCxnSpPr>
      <xdr:spPr>
        <a:xfrm flipV="1">
          <a:off x="4999990" y="13667740"/>
          <a:ext cx="4705350" cy="8813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2" name="Conector de Seta Reta 2">
          <a:extLst>
            <a:ext uri="{FF2B5EF4-FFF2-40B4-BE49-F238E27FC236}">
              <a16:creationId xmlns:a16="http://schemas.microsoft.com/office/drawing/2014/main" id="{00000000-0008-0000-0F00-000002000000}"/>
            </a:ext>
          </a:extLst>
        </xdr:cNvPr>
        <xdr:cNvCxnSpPr/>
      </xdr:nvCxnSpPr>
      <xdr:spPr>
        <a:xfrm>
          <a:off x="4060825" y="5486400"/>
          <a:ext cx="2749550" cy="2587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3" name="Conector de Seta Reta 3">
          <a:extLst>
            <a:ext uri="{FF2B5EF4-FFF2-40B4-BE49-F238E27FC236}">
              <a16:creationId xmlns:a16="http://schemas.microsoft.com/office/drawing/2014/main" id="{00000000-0008-0000-0F00-000003000000}"/>
            </a:ext>
          </a:extLst>
        </xdr:cNvPr>
        <xdr:cNvCxnSpPr/>
      </xdr:nvCxnSpPr>
      <xdr:spPr>
        <a:xfrm>
          <a:off x="3651250" y="5654675"/>
          <a:ext cx="312102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8553450" y="1841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secpt-my.sharepoint.com/Users/Jo&#227;o%20Rodrigues/Downloads/+%20REV%202%20-%20MODIFICA&#199;&#213;ES%20em%20v4.0%20%20-%20AM%2018-08-2020.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s://isecpt-my.sharepoint.com/Users/jmrodrigues/Documents/IAPMEI-Fase%20Teletrabalho/Ferramenta%20de%20An&#225;lise%20de%20Projetos/An&#225;lise%20a%2010%20anos/Caso%20para%20testar%20Folha%20Moneris/Vers&#227;o%2016/Vers&#227;o%20Final/IAPMEI_Ferramenta%20avalia&#231;&#227;o%20neg&#243;cio%2010%20anos_v16.0%20-%20AAM_JR-final_com%20exemplo.xlsm?5C32418F" TargetMode="External"/><Relationship Id="rId1" Type="http://schemas.openxmlformats.org/officeDocument/2006/relationships/externalLinkPath" Target="file:///\\5C32418F\IAPMEI_Ferramenta%20avalia&#231;&#227;o%20neg&#243;cio%2010%20anos_v16.0%20-%20AAM_JR-final_com%20exempl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Capa"/>
      <sheetName val="Instruções de Preenchimento"/>
      <sheetName val="NOTAS JR"/>
      <sheetName val="Pressupostos"/>
      <sheetName val="1.Demonstração de Resultados"/>
      <sheetName val="2. Balanço"/>
      <sheetName val="3. Avaliação Financeira"/>
      <sheetName val="4. Rácios Financeiros"/>
      <sheetName val="5. Fundo de Maneio"/>
      <sheetName val="6. Investimento"/>
      <sheetName val="CAE"/>
      <sheetName val="3. Investimento_2"/>
      <sheetName val="7. Serviço da Dívida"/>
      <sheetName val="8. Mapa de tesouraria"/>
      <sheetName val="9. Capital Próprio"/>
      <sheetName val="10. Anexo_Prejuízos fiscais"/>
      <sheetName val="A. Aux_Mat Prima % Vendas"/>
      <sheetName val="B. Aux_Var Produção % Vendas"/>
      <sheetName val="Calc auxiliar livre"/>
      <sheetName val="C. Ferramentas de trabalh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80">
          <cell r="D80">
            <v>1000000</v>
          </cell>
          <cell r="E80">
            <v>1100000</v>
          </cell>
        </row>
      </sheetData>
      <sheetData sheetId="18" refreshError="1"/>
      <sheetData sheetId="19" refreshError="1"/>
      <sheetData sheetId="20"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topLeftCell="A13" zoomScale="80" zoomScaleNormal="80" workbookViewId="0">
      <selection activeCell="H18" sqref="H18"/>
    </sheetView>
  </sheetViews>
  <sheetFormatPr defaultColWidth="0" defaultRowHeight="15" zeroHeight="1" x14ac:dyDescent="0.25"/>
  <cols>
    <col min="1" max="1" width="2.85546875" customWidth="1"/>
    <col min="2" max="2" width="4.42578125" customWidth="1"/>
    <col min="3" max="14" width="9.140625" customWidth="1"/>
    <col min="15" max="16384" width="9.140625" hidden="1"/>
  </cols>
  <sheetData>
    <row r="1" spans="1:8" x14ac:dyDescent="0.25">
      <c r="A1" s="144"/>
    </row>
    <row r="2" spans="1:8" x14ac:dyDescent="0.25"/>
    <row r="3" spans="1:8" x14ac:dyDescent="0.25"/>
    <row r="4" spans="1:8" x14ac:dyDescent="0.25"/>
    <row r="5" spans="1:8" x14ac:dyDescent="0.25"/>
    <row r="6" spans="1:8" ht="21" x14ac:dyDescent="0.35">
      <c r="C6" s="12" t="s">
        <v>680</v>
      </c>
    </row>
    <row r="7" spans="1:8" x14ac:dyDescent="0.25"/>
    <row r="8" spans="1:8" x14ac:dyDescent="0.25"/>
    <row r="9" spans="1:8" x14ac:dyDescent="0.25"/>
    <row r="10" spans="1:8" x14ac:dyDescent="0.25"/>
    <row r="11" spans="1:8" x14ac:dyDescent="0.25"/>
    <row r="12" spans="1:8" x14ac:dyDescent="0.25"/>
    <row r="13" spans="1:8" ht="26.25" x14ac:dyDescent="0.4">
      <c r="C13" s="741" t="s">
        <v>787</v>
      </c>
    </row>
    <row r="14" spans="1:8" x14ac:dyDescent="0.25"/>
    <row r="15" spans="1:8" x14ac:dyDescent="0.25"/>
    <row r="16" spans="1:8" x14ac:dyDescent="0.25">
      <c r="H16" s="3" t="s">
        <v>788</v>
      </c>
    </row>
    <row r="17" spans="2:11" x14ac:dyDescent="0.25">
      <c r="K17" s="3"/>
    </row>
    <row r="18" spans="2:11" x14ac:dyDescent="0.25">
      <c r="K18" s="3"/>
    </row>
    <row r="19" spans="2:11" x14ac:dyDescent="0.25"/>
    <row r="20" spans="2:11" x14ac:dyDescent="0.25"/>
    <row r="21" spans="2:11" x14ac:dyDescent="0.25"/>
    <row r="22" spans="2:11" x14ac:dyDescent="0.25">
      <c r="B22" s="21"/>
      <c r="C22" s="684" t="s">
        <v>660</v>
      </c>
      <c r="D22" s="685"/>
      <c r="E22" s="7"/>
    </row>
    <row r="23" spans="2:11" x14ac:dyDescent="0.25">
      <c r="B23" s="21"/>
      <c r="D23" s="685"/>
      <c r="E23" s="7"/>
    </row>
    <row r="24" spans="2:11" x14ac:dyDescent="0.25">
      <c r="B24" s="21"/>
      <c r="D24" s="685"/>
      <c r="E24" s="7"/>
    </row>
    <row r="25" spans="2:11" x14ac:dyDescent="0.25">
      <c r="B25" s="21"/>
      <c r="D25" s="685"/>
      <c r="E25" s="7"/>
    </row>
    <row r="26" spans="2:11" x14ac:dyDescent="0.25">
      <c r="B26" s="21"/>
      <c r="D26" s="685"/>
      <c r="E26" s="7"/>
    </row>
    <row r="27" spans="2:11" x14ac:dyDescent="0.25"/>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topLeftCell="A4" zoomScale="110" zoomScaleNormal="110" workbookViewId="0">
      <selection activeCell="E117" sqref="E117"/>
    </sheetView>
  </sheetViews>
  <sheetFormatPr defaultColWidth="0" defaultRowHeight="15" x14ac:dyDescent="0.25"/>
  <cols>
    <col min="1" max="1" width="0.85546875" customWidth="1"/>
    <col min="2" max="2" width="6.85546875" style="21" bestFit="1" customWidth="1"/>
    <col min="3" max="3" width="55.42578125" customWidth="1"/>
    <col min="4" max="4" width="120.42578125" style="685" customWidth="1"/>
    <col min="5" max="5" width="9.140625" style="7" customWidth="1"/>
    <col min="6" max="17" width="0" hidden="1" customWidth="1"/>
    <col min="18" max="16384" width="9.140625" hidden="1"/>
  </cols>
  <sheetData>
    <row r="2" spans="1:5" ht="16.5" thickBot="1" x14ac:dyDescent="0.3">
      <c r="B2"/>
      <c r="C2" s="733" t="s">
        <v>101</v>
      </c>
      <c r="D2" s="747" t="s">
        <v>683</v>
      </c>
      <c r="E2"/>
    </row>
    <row r="3" spans="1:5" ht="15.75" thickTop="1" x14ac:dyDescent="0.25">
      <c r="B3"/>
      <c r="E3"/>
    </row>
    <row r="4" spans="1:5" ht="48" customHeight="1" x14ac:dyDescent="0.25">
      <c r="B4"/>
      <c r="C4" s="705" t="s">
        <v>73</v>
      </c>
      <c r="D4" s="686" t="s">
        <v>74</v>
      </c>
      <c r="E4"/>
    </row>
    <row r="5" spans="1:5" s="5" customFormat="1" ht="6.75" customHeight="1" x14ac:dyDescent="0.25">
      <c r="A5" s="34"/>
      <c r="B5" s="34"/>
      <c r="C5"/>
      <c r="D5" s="687"/>
      <c r="E5" s="35"/>
    </row>
    <row r="6" spans="1:5" s="79" customFormat="1" ht="84.75" customHeight="1" x14ac:dyDescent="0.25">
      <c r="A6" s="78"/>
      <c r="B6" s="78"/>
      <c r="C6" s="706" t="s">
        <v>524</v>
      </c>
      <c r="D6" s="688" t="s">
        <v>661</v>
      </c>
      <c r="E6" s="158"/>
    </row>
    <row r="7" spans="1:5" s="5" customFormat="1" ht="6.75" customHeight="1" x14ac:dyDescent="0.25">
      <c r="A7" s="34"/>
      <c r="B7" s="34"/>
      <c r="C7"/>
      <c r="D7" s="687"/>
      <c r="E7" s="35"/>
    </row>
    <row r="8" spans="1:5" s="79" customFormat="1" ht="27" customHeight="1" x14ac:dyDescent="0.25">
      <c r="A8" s="78"/>
      <c r="B8" s="78"/>
      <c r="C8" s="706" t="s">
        <v>603</v>
      </c>
      <c r="D8" s="689" t="s">
        <v>604</v>
      </c>
      <c r="E8" s="158"/>
    </row>
    <row r="9" spans="1:5" s="5" customFormat="1" ht="6.75" customHeight="1" x14ac:dyDescent="0.25">
      <c r="A9" s="34"/>
      <c r="B9" s="34"/>
      <c r="C9"/>
      <c r="D9" s="687"/>
      <c r="E9" s="35"/>
    </row>
    <row r="10" spans="1:5" s="79" customFormat="1" ht="27" customHeight="1" x14ac:dyDescent="0.25">
      <c r="A10" s="78"/>
      <c r="B10" s="78"/>
      <c r="C10" s="714" t="s">
        <v>46</v>
      </c>
      <c r="D10" s="689" t="s">
        <v>607</v>
      </c>
      <c r="E10" s="158"/>
    </row>
    <row r="11" spans="1:5" s="79" customFormat="1" ht="34.5" customHeight="1" x14ac:dyDescent="0.25">
      <c r="A11" s="78"/>
      <c r="B11" s="78"/>
      <c r="C11" s="734" t="s">
        <v>605</v>
      </c>
      <c r="D11" s="688" t="s">
        <v>662</v>
      </c>
      <c r="E11" s="158"/>
    </row>
    <row r="12" spans="1:5" s="79" customFormat="1" ht="42.75" x14ac:dyDescent="0.25">
      <c r="A12" s="78"/>
      <c r="B12" s="78"/>
      <c r="C12" s="735" t="s">
        <v>675</v>
      </c>
      <c r="D12" s="688" t="s">
        <v>695</v>
      </c>
      <c r="E12" s="158"/>
    </row>
    <row r="13" spans="1:5" s="79" customFormat="1" ht="34.5" customHeight="1" x14ac:dyDescent="0.25">
      <c r="A13" s="78"/>
      <c r="B13" s="78"/>
      <c r="C13" s="736" t="s">
        <v>676</v>
      </c>
      <c r="D13" s="737" t="s">
        <v>663</v>
      </c>
      <c r="E13" s="158"/>
    </row>
    <row r="14" spans="1:5" s="79" customFormat="1" ht="34.5" customHeight="1" x14ac:dyDescent="0.25">
      <c r="A14" s="78"/>
      <c r="B14" s="78"/>
      <c r="C14" s="738" t="s">
        <v>677</v>
      </c>
      <c r="D14" s="739" t="s">
        <v>696</v>
      </c>
      <c r="E14" s="158"/>
    </row>
    <row r="15" spans="1:5" s="79" customFormat="1" ht="34.5" customHeight="1" x14ac:dyDescent="0.25">
      <c r="A15" s="78"/>
      <c r="B15" s="78"/>
      <c r="C15" s="738" t="s">
        <v>678</v>
      </c>
      <c r="D15" s="739" t="s">
        <v>679</v>
      </c>
      <c r="E15" s="158"/>
    </row>
    <row r="16" spans="1:5" s="79" customFormat="1" ht="10.5" customHeight="1" x14ac:dyDescent="0.25">
      <c r="A16" s="78"/>
      <c r="B16" s="78"/>
      <c r="C16" s="707"/>
      <c r="D16" s="690"/>
      <c r="E16" s="158"/>
    </row>
    <row r="17" spans="1:5" s="79" customFormat="1" ht="10.5" customHeight="1" x14ac:dyDescent="0.25">
      <c r="A17" s="78"/>
      <c r="B17" s="78"/>
      <c r="C17" s="707"/>
      <c r="D17" s="690"/>
      <c r="E17" s="158"/>
    </row>
    <row r="18" spans="1:5" s="79" customFormat="1" ht="27" customHeight="1" x14ac:dyDescent="0.25">
      <c r="A18" s="78"/>
      <c r="B18" s="78"/>
      <c r="C18" s="714" t="s">
        <v>46</v>
      </c>
      <c r="D18" s="691" t="s">
        <v>606</v>
      </c>
      <c r="E18" s="158"/>
    </row>
    <row r="19" spans="1:5" s="195" customFormat="1" ht="30" customHeight="1" x14ac:dyDescent="0.25">
      <c r="A19" s="223"/>
      <c r="B19" s="670"/>
      <c r="C19" s="708" t="s">
        <v>591</v>
      </c>
      <c r="D19" s="692" t="s">
        <v>697</v>
      </c>
      <c r="E19" s="671"/>
    </row>
    <row r="20" spans="1:5" s="195" customFormat="1" ht="152.25" customHeight="1" x14ac:dyDescent="0.25">
      <c r="A20" s="223"/>
      <c r="B20" s="670"/>
      <c r="C20" s="708" t="s">
        <v>592</v>
      </c>
      <c r="D20" s="692" t="s">
        <v>698</v>
      </c>
      <c r="E20" s="671"/>
    </row>
    <row r="21" spans="1:5" s="195" customFormat="1" ht="36.75" customHeight="1" x14ac:dyDescent="0.25">
      <c r="A21" s="223"/>
      <c r="B21" s="670"/>
      <c r="C21" s="708" t="s">
        <v>302</v>
      </c>
      <c r="D21" s="692" t="s">
        <v>699</v>
      </c>
      <c r="E21" s="671"/>
    </row>
    <row r="22" spans="1:5" s="195" customFormat="1" ht="85.5" customHeight="1" x14ac:dyDescent="0.25">
      <c r="A22" s="223"/>
      <c r="B22" s="670"/>
      <c r="C22" s="709" t="s">
        <v>593</v>
      </c>
      <c r="D22" s="692" t="s">
        <v>700</v>
      </c>
      <c r="E22" s="671"/>
    </row>
    <row r="23" spans="1:5" s="195" customFormat="1" ht="84" customHeight="1" x14ac:dyDescent="0.25">
      <c r="A23" s="223"/>
      <c r="B23" s="670"/>
      <c r="C23" s="710" t="s">
        <v>594</v>
      </c>
      <c r="D23" s="692" t="s">
        <v>701</v>
      </c>
      <c r="E23" s="671"/>
    </row>
    <row r="24" spans="1:5" s="195" customFormat="1" ht="75.75" customHeight="1" x14ac:dyDescent="0.25">
      <c r="A24" s="223"/>
      <c r="B24" s="670"/>
      <c r="C24" s="710" t="s">
        <v>595</v>
      </c>
      <c r="D24" s="692" t="s">
        <v>702</v>
      </c>
      <c r="E24" s="671"/>
    </row>
    <row r="25" spans="1:5" s="195" customFormat="1" ht="77.25" customHeight="1" x14ac:dyDescent="0.25">
      <c r="A25" s="223"/>
      <c r="B25" s="670"/>
      <c r="C25" s="710" t="s">
        <v>596</v>
      </c>
      <c r="D25" s="692" t="s">
        <v>703</v>
      </c>
      <c r="E25" s="671"/>
    </row>
    <row r="26" spans="1:5" s="195" customFormat="1" ht="28.5" x14ac:dyDescent="0.25">
      <c r="A26" s="223"/>
      <c r="B26" s="670"/>
      <c r="C26" s="711" t="s">
        <v>597</v>
      </c>
      <c r="D26" s="692" t="s">
        <v>704</v>
      </c>
      <c r="E26" s="671"/>
    </row>
    <row r="27" spans="1:5" s="195" customFormat="1" ht="28.5" x14ac:dyDescent="0.25">
      <c r="A27" s="223"/>
      <c r="B27" s="670"/>
      <c r="C27" s="708" t="s">
        <v>85</v>
      </c>
      <c r="D27" s="692" t="s">
        <v>705</v>
      </c>
      <c r="E27" s="671"/>
    </row>
    <row r="28" spans="1:5" s="195" customFormat="1" ht="42.75" x14ac:dyDescent="0.25">
      <c r="A28" s="223"/>
      <c r="B28" s="670"/>
      <c r="C28" s="709" t="s">
        <v>344</v>
      </c>
      <c r="D28" s="692" t="s">
        <v>706</v>
      </c>
      <c r="E28" s="671"/>
    </row>
    <row r="29" spans="1:5" s="195" customFormat="1" ht="30" customHeight="1" x14ac:dyDescent="0.25">
      <c r="A29" s="223"/>
      <c r="B29" s="670"/>
      <c r="C29" s="709" t="s">
        <v>405</v>
      </c>
      <c r="D29" s="692" t="s">
        <v>598</v>
      </c>
      <c r="E29" s="671"/>
    </row>
    <row r="30" spans="1:5" s="146" customFormat="1" ht="63" customHeight="1" x14ac:dyDescent="0.25">
      <c r="A30" s="223"/>
      <c r="B30" s="670"/>
      <c r="C30" s="708" t="s">
        <v>448</v>
      </c>
      <c r="D30" s="692" t="s">
        <v>707</v>
      </c>
      <c r="E30" s="672"/>
    </row>
    <row r="31" spans="1:5" s="146" customFormat="1" ht="57" x14ac:dyDescent="0.25">
      <c r="A31" s="145"/>
      <c r="B31" s="670"/>
      <c r="C31" s="708" t="s">
        <v>519</v>
      </c>
      <c r="D31" s="692" t="s">
        <v>708</v>
      </c>
      <c r="E31" s="672"/>
    </row>
    <row r="32" spans="1:5" s="146" customFormat="1" ht="99" customHeight="1" x14ac:dyDescent="0.25">
      <c r="A32" s="223"/>
      <c r="B32" s="670"/>
      <c r="C32" s="712" t="s">
        <v>599</v>
      </c>
      <c r="D32" s="692" t="s">
        <v>709</v>
      </c>
    </row>
    <row r="33" spans="1:5" s="146" customFormat="1" ht="165.75" customHeight="1" x14ac:dyDescent="0.25">
      <c r="B33" s="670"/>
      <c r="C33" s="710" t="s">
        <v>520</v>
      </c>
      <c r="D33" s="692" t="s">
        <v>710</v>
      </c>
      <c r="E33" s="672"/>
    </row>
    <row r="34" spans="1:5" s="146" customFormat="1" ht="128.25" x14ac:dyDescent="0.25">
      <c r="B34" s="670"/>
      <c r="C34" s="710" t="s">
        <v>600</v>
      </c>
      <c r="D34" s="692" t="s">
        <v>711</v>
      </c>
      <c r="E34" s="672"/>
    </row>
    <row r="35" spans="1:5" s="146" customFormat="1" ht="185.25" x14ac:dyDescent="0.25">
      <c r="B35" s="670"/>
      <c r="C35" s="709" t="s">
        <v>601</v>
      </c>
      <c r="D35" s="693" t="s">
        <v>712</v>
      </c>
      <c r="E35" s="672"/>
    </row>
    <row r="36" spans="1:5" s="146" customFormat="1" ht="28.5" x14ac:dyDescent="0.25">
      <c r="B36" s="670"/>
      <c r="C36" s="709" t="s">
        <v>608</v>
      </c>
      <c r="D36" s="692" t="s">
        <v>619</v>
      </c>
      <c r="E36" s="672"/>
    </row>
    <row r="37" spans="1:5" s="5" customFormat="1" ht="6.75" customHeight="1" x14ac:dyDescent="0.25">
      <c r="A37" s="34"/>
      <c r="B37" s="34"/>
      <c r="C37"/>
      <c r="D37" s="687"/>
      <c r="E37" s="35"/>
    </row>
    <row r="38" spans="1:5" ht="27" customHeight="1" x14ac:dyDescent="0.25">
      <c r="B38" s="669"/>
      <c r="C38" s="935" t="s">
        <v>620</v>
      </c>
      <c r="D38" s="936"/>
    </row>
    <row r="39" spans="1:5" s="5" customFormat="1" ht="6.75" customHeight="1" x14ac:dyDescent="0.25">
      <c r="A39" s="34"/>
      <c r="B39" s="34"/>
      <c r="C39"/>
      <c r="D39" s="687"/>
      <c r="E39" s="35"/>
    </row>
    <row r="40" spans="1:5" s="79" customFormat="1" ht="27" customHeight="1" x14ac:dyDescent="0.25">
      <c r="A40" s="78"/>
      <c r="B40" s="78"/>
      <c r="C40" s="713" t="s">
        <v>525</v>
      </c>
      <c r="D40" s="688" t="s">
        <v>527</v>
      </c>
      <c r="E40" s="158"/>
    </row>
    <row r="41" spans="1:5" s="79" customFormat="1" ht="34.5" customHeight="1" x14ac:dyDescent="0.25">
      <c r="A41" s="78"/>
      <c r="B41" s="78"/>
      <c r="C41" s="713" t="s">
        <v>684</v>
      </c>
      <c r="D41" s="688" t="s">
        <v>532</v>
      </c>
      <c r="E41" s="158"/>
    </row>
    <row r="42" spans="1:5" s="79" customFormat="1" ht="108" customHeight="1" x14ac:dyDescent="0.25">
      <c r="A42" s="78"/>
      <c r="B42" s="78"/>
      <c r="C42" s="713" t="s">
        <v>685</v>
      </c>
      <c r="D42" s="694" t="s">
        <v>664</v>
      </c>
      <c r="E42" s="158"/>
    </row>
    <row r="43" spans="1:5" s="79" customFormat="1" ht="51.95" customHeight="1" x14ac:dyDescent="0.25">
      <c r="A43" s="78"/>
      <c r="B43" s="78"/>
      <c r="C43" s="713" t="s">
        <v>686</v>
      </c>
      <c r="D43" s="688" t="s">
        <v>621</v>
      </c>
      <c r="E43" s="158"/>
    </row>
    <row r="44" spans="1:5" s="79" customFormat="1" ht="27" customHeight="1" x14ac:dyDescent="0.25">
      <c r="A44" s="78"/>
      <c r="B44" s="78"/>
      <c r="C44" s="713" t="s">
        <v>85</v>
      </c>
      <c r="D44" s="688" t="s">
        <v>528</v>
      </c>
      <c r="E44" s="158"/>
    </row>
    <row r="45" spans="1:5" s="79" customFormat="1" ht="27" customHeight="1" x14ac:dyDescent="0.25">
      <c r="A45" s="78"/>
      <c r="B45" s="78"/>
      <c r="C45" s="713" t="s">
        <v>687</v>
      </c>
      <c r="D45" s="688" t="s">
        <v>529</v>
      </c>
      <c r="E45" s="158"/>
    </row>
    <row r="46" spans="1:5" s="79" customFormat="1" ht="28.5" x14ac:dyDescent="0.25">
      <c r="A46" s="78"/>
      <c r="B46" s="78"/>
      <c r="C46" s="713" t="s">
        <v>688</v>
      </c>
      <c r="D46" s="688" t="s">
        <v>530</v>
      </c>
      <c r="E46" s="158"/>
    </row>
    <row r="47" spans="1:5" s="79" customFormat="1" ht="34.5" customHeight="1" x14ac:dyDescent="0.25">
      <c r="A47" s="78"/>
      <c r="B47" s="78"/>
      <c r="C47" s="713" t="s">
        <v>689</v>
      </c>
      <c r="D47" s="688" t="s">
        <v>526</v>
      </c>
      <c r="E47" s="158"/>
    </row>
    <row r="48" spans="1:5" s="79" customFormat="1" ht="34.5" customHeight="1" x14ac:dyDescent="0.25">
      <c r="A48" s="78"/>
      <c r="B48" s="78"/>
      <c r="C48" s="713" t="s">
        <v>690</v>
      </c>
      <c r="D48" s="688" t="s">
        <v>531</v>
      </c>
      <c r="E48" s="158"/>
    </row>
    <row r="49" spans="1:5" s="79" customFormat="1" ht="34.5" customHeight="1" x14ac:dyDescent="0.25">
      <c r="A49" s="78"/>
      <c r="B49" s="78"/>
      <c r="C49" s="713" t="s">
        <v>691</v>
      </c>
      <c r="D49" s="688" t="s">
        <v>536</v>
      </c>
      <c r="E49" s="158"/>
    </row>
    <row r="50" spans="1:5" s="5" customFormat="1" ht="6.75" customHeight="1" x14ac:dyDescent="0.25">
      <c r="A50" s="34"/>
      <c r="B50" s="34"/>
      <c r="C50"/>
      <c r="D50" s="687"/>
      <c r="E50" s="35"/>
    </row>
    <row r="51" spans="1:5" ht="34.5" customHeight="1" x14ac:dyDescent="0.25">
      <c r="B51" s="669"/>
      <c r="C51" s="935" t="s">
        <v>622</v>
      </c>
      <c r="D51" s="936"/>
    </row>
    <row r="52" spans="1:5" s="5" customFormat="1" ht="6.75" customHeight="1" x14ac:dyDescent="0.25">
      <c r="A52" s="34"/>
      <c r="B52" s="34"/>
      <c r="C52"/>
      <c r="D52" s="687"/>
      <c r="E52" s="35"/>
    </row>
    <row r="53" spans="1:5" s="79" customFormat="1" ht="34.5" customHeight="1" x14ac:dyDescent="0.25">
      <c r="A53" s="78"/>
      <c r="B53" s="78"/>
      <c r="C53" s="706" t="s">
        <v>533</v>
      </c>
      <c r="D53" s="688" t="s">
        <v>535</v>
      </c>
      <c r="E53" s="158"/>
    </row>
    <row r="54" spans="1:5" s="79" customFormat="1" ht="34.5" customHeight="1" x14ac:dyDescent="0.25">
      <c r="A54" s="78"/>
      <c r="B54" s="78"/>
      <c r="C54" s="706" t="s">
        <v>534</v>
      </c>
      <c r="D54" s="688" t="s">
        <v>535</v>
      </c>
      <c r="E54" s="158"/>
    </row>
    <row r="55" spans="1:5" s="79" customFormat="1" ht="34.5" customHeight="1" x14ac:dyDescent="0.25">
      <c r="A55" s="78"/>
      <c r="B55" s="78"/>
      <c r="C55" s="706" t="s">
        <v>610</v>
      </c>
      <c r="D55" s="695" t="s">
        <v>602</v>
      </c>
      <c r="E55" s="158"/>
    </row>
    <row r="56" spans="1:5" s="5" customFormat="1" ht="6.75" customHeight="1" x14ac:dyDescent="0.25">
      <c r="A56" s="34"/>
      <c r="B56" s="34"/>
      <c r="C56"/>
      <c r="D56" s="687"/>
      <c r="E56" s="35"/>
    </row>
    <row r="57" spans="1:5" ht="34.5" customHeight="1" x14ac:dyDescent="0.25">
      <c r="B57" s="669"/>
      <c r="C57" s="935" t="s">
        <v>623</v>
      </c>
      <c r="D57" s="936"/>
    </row>
    <row r="58" spans="1:5" s="5" customFormat="1" ht="6.75" customHeight="1" x14ac:dyDescent="0.25">
      <c r="A58" s="34"/>
      <c r="B58" s="34"/>
      <c r="C58"/>
      <c r="D58" s="687"/>
      <c r="E58" s="35"/>
    </row>
    <row r="59" spans="1:5" s="146" customFormat="1" ht="30.75" customHeight="1" x14ac:dyDescent="0.25">
      <c r="C59" s="705" t="s">
        <v>255</v>
      </c>
      <c r="D59" s="696" t="s">
        <v>256</v>
      </c>
    </row>
    <row r="60" spans="1:5" ht="20.25" customHeight="1" x14ac:dyDescent="0.25">
      <c r="C60" s="679" t="s">
        <v>289</v>
      </c>
      <c r="D60" s="697" t="s">
        <v>262</v>
      </c>
    </row>
    <row r="61" spans="1:5" ht="20.25" customHeight="1" x14ac:dyDescent="0.25">
      <c r="C61" s="680" t="s">
        <v>288</v>
      </c>
      <c r="D61" s="698" t="s">
        <v>263</v>
      </c>
    </row>
    <row r="62" spans="1:5" ht="20.25" customHeight="1" x14ac:dyDescent="0.25">
      <c r="C62" s="680" t="s">
        <v>624</v>
      </c>
      <c r="D62" s="698" t="s">
        <v>625</v>
      </c>
    </row>
    <row r="63" spans="1:5" ht="20.25" customHeight="1" x14ac:dyDescent="0.25">
      <c r="C63" s="680" t="s">
        <v>626</v>
      </c>
      <c r="D63" s="698" t="s">
        <v>627</v>
      </c>
    </row>
    <row r="64" spans="1:5" ht="20.25" customHeight="1" x14ac:dyDescent="0.25">
      <c r="C64" s="680" t="s">
        <v>30</v>
      </c>
      <c r="D64" s="698" t="s">
        <v>390</v>
      </c>
    </row>
    <row r="65" spans="1:16384" ht="20.25" customHeight="1" x14ac:dyDescent="0.25">
      <c r="C65" s="680" t="s">
        <v>628</v>
      </c>
      <c r="D65" s="698" t="s">
        <v>629</v>
      </c>
    </row>
    <row r="66" spans="1:16384" ht="20.25" customHeight="1" x14ac:dyDescent="0.25">
      <c r="C66" s="680" t="s">
        <v>287</v>
      </c>
      <c r="D66" s="698" t="s">
        <v>264</v>
      </c>
    </row>
    <row r="67" spans="1:16384" ht="20.25" customHeight="1" x14ac:dyDescent="0.25">
      <c r="C67" s="680" t="s">
        <v>81</v>
      </c>
      <c r="D67" s="698" t="s">
        <v>265</v>
      </c>
    </row>
    <row r="68" spans="1:16384" ht="20.25" customHeight="1" x14ac:dyDescent="0.25">
      <c r="C68" s="680" t="s">
        <v>286</v>
      </c>
      <c r="D68" s="698" t="s">
        <v>4</v>
      </c>
    </row>
    <row r="69" spans="1:16384" ht="20.25" customHeight="1" x14ac:dyDescent="0.25">
      <c r="C69" s="680" t="s">
        <v>285</v>
      </c>
      <c r="D69" s="698" t="s">
        <v>266</v>
      </c>
    </row>
    <row r="70" spans="1:16384" x14ac:dyDescent="0.25">
      <c r="C70" s="680" t="s">
        <v>6</v>
      </c>
      <c r="D70" s="699" t="s">
        <v>391</v>
      </c>
    </row>
    <row r="71" spans="1:16384" x14ac:dyDescent="0.25">
      <c r="C71" s="681" t="s">
        <v>13</v>
      </c>
      <c r="D71" s="699" t="s">
        <v>392</v>
      </c>
    </row>
    <row r="72" spans="1:16384" ht="20.25" customHeight="1" x14ac:dyDescent="0.25">
      <c r="C72" s="680" t="s">
        <v>116</v>
      </c>
      <c r="D72" s="698" t="s">
        <v>267</v>
      </c>
    </row>
    <row r="73" spans="1:16384" ht="20.25" customHeight="1" x14ac:dyDescent="0.25">
      <c r="C73" s="680" t="s">
        <v>630</v>
      </c>
      <c r="D73" s="698" t="s">
        <v>631</v>
      </c>
    </row>
    <row r="74" spans="1:16384" ht="20.25" customHeight="1" x14ac:dyDescent="0.25">
      <c r="C74" s="680" t="s">
        <v>76</v>
      </c>
      <c r="D74" s="698" t="s">
        <v>632</v>
      </c>
    </row>
    <row r="75" spans="1:16384" ht="20.25" customHeight="1" x14ac:dyDescent="0.25">
      <c r="C75" s="680" t="s">
        <v>283</v>
      </c>
      <c r="D75" s="698" t="s">
        <v>296</v>
      </c>
    </row>
    <row r="76" spans="1:16384" ht="20.25" customHeight="1" x14ac:dyDescent="0.25">
      <c r="C76" s="680" t="s">
        <v>284</v>
      </c>
      <c r="D76" s="698" t="s">
        <v>295</v>
      </c>
    </row>
    <row r="77" spans="1:16384" ht="20.25" customHeight="1" x14ac:dyDescent="0.25">
      <c r="A77" t="s">
        <v>229</v>
      </c>
      <c r="B77" s="21" t="s">
        <v>633</v>
      </c>
      <c r="C77" s="680" t="s">
        <v>229</v>
      </c>
      <c r="D77" s="698" t="s">
        <v>633</v>
      </c>
      <c r="F77" t="s">
        <v>633</v>
      </c>
      <c r="G77" t="s">
        <v>229</v>
      </c>
      <c r="H77" t="s">
        <v>633</v>
      </c>
      <c r="I77" t="s">
        <v>229</v>
      </c>
      <c r="J77" t="s">
        <v>633</v>
      </c>
      <c r="K77" t="s">
        <v>229</v>
      </c>
      <c r="L77" t="s">
        <v>633</v>
      </c>
      <c r="M77" t="s">
        <v>229</v>
      </c>
      <c r="N77" t="s">
        <v>633</v>
      </c>
      <c r="O77" t="s">
        <v>229</v>
      </c>
      <c r="P77" t="s">
        <v>633</v>
      </c>
      <c r="Q77" t="s">
        <v>229</v>
      </c>
      <c r="R77" t="s">
        <v>633</v>
      </c>
      <c r="S77" t="s">
        <v>229</v>
      </c>
      <c r="T77" t="s">
        <v>633</v>
      </c>
      <c r="U77" t="s">
        <v>229</v>
      </c>
      <c r="V77" t="s">
        <v>633</v>
      </c>
      <c r="W77" t="s">
        <v>229</v>
      </c>
      <c r="X77" t="s">
        <v>633</v>
      </c>
      <c r="Y77" t="s">
        <v>229</v>
      </c>
      <c r="Z77" t="s">
        <v>633</v>
      </c>
      <c r="AA77" t="s">
        <v>229</v>
      </c>
      <c r="AB77" t="s">
        <v>633</v>
      </c>
      <c r="AC77" t="s">
        <v>229</v>
      </c>
      <c r="AD77" t="s">
        <v>633</v>
      </c>
      <c r="AE77" t="s">
        <v>229</v>
      </c>
      <c r="AF77" t="s">
        <v>633</v>
      </c>
      <c r="AG77" t="s">
        <v>229</v>
      </c>
      <c r="AH77" t="s">
        <v>633</v>
      </c>
      <c r="AI77" t="s">
        <v>229</v>
      </c>
      <c r="AJ77" t="s">
        <v>633</v>
      </c>
      <c r="AK77" t="s">
        <v>229</v>
      </c>
      <c r="AL77" t="s">
        <v>633</v>
      </c>
      <c r="AM77" t="s">
        <v>229</v>
      </c>
      <c r="AN77" t="s">
        <v>633</v>
      </c>
      <c r="AO77" t="s">
        <v>229</v>
      </c>
      <c r="AP77" t="s">
        <v>633</v>
      </c>
      <c r="AQ77" t="s">
        <v>229</v>
      </c>
      <c r="AR77" t="s">
        <v>633</v>
      </c>
      <c r="AS77" t="s">
        <v>229</v>
      </c>
      <c r="AT77" t="s">
        <v>633</v>
      </c>
      <c r="AU77" t="s">
        <v>229</v>
      </c>
      <c r="AV77" t="s">
        <v>633</v>
      </c>
      <c r="AW77" t="s">
        <v>229</v>
      </c>
      <c r="AX77" t="s">
        <v>633</v>
      </c>
      <c r="AY77" t="s">
        <v>229</v>
      </c>
      <c r="AZ77" t="s">
        <v>633</v>
      </c>
      <c r="BA77" t="s">
        <v>229</v>
      </c>
      <c r="BB77" t="s">
        <v>633</v>
      </c>
      <c r="BC77" t="s">
        <v>229</v>
      </c>
      <c r="BD77" t="s">
        <v>633</v>
      </c>
      <c r="BE77" t="s">
        <v>229</v>
      </c>
      <c r="BF77" t="s">
        <v>633</v>
      </c>
      <c r="BG77" t="s">
        <v>229</v>
      </c>
      <c r="BH77" t="s">
        <v>633</v>
      </c>
      <c r="BI77" t="s">
        <v>229</v>
      </c>
      <c r="BJ77" t="s">
        <v>633</v>
      </c>
      <c r="BK77" t="s">
        <v>229</v>
      </c>
      <c r="BL77" t="s">
        <v>633</v>
      </c>
      <c r="BM77" t="s">
        <v>229</v>
      </c>
      <c r="BN77" t="s">
        <v>633</v>
      </c>
      <c r="BO77" t="s">
        <v>229</v>
      </c>
      <c r="BP77" t="s">
        <v>633</v>
      </c>
      <c r="BQ77" t="s">
        <v>229</v>
      </c>
      <c r="BR77" t="s">
        <v>633</v>
      </c>
      <c r="BS77" t="s">
        <v>229</v>
      </c>
      <c r="BT77" t="s">
        <v>633</v>
      </c>
      <c r="BU77" t="s">
        <v>229</v>
      </c>
      <c r="BV77" t="s">
        <v>633</v>
      </c>
      <c r="BW77" t="s">
        <v>229</v>
      </c>
      <c r="BX77" t="s">
        <v>633</v>
      </c>
      <c r="BY77" t="s">
        <v>229</v>
      </c>
      <c r="BZ77" t="s">
        <v>633</v>
      </c>
      <c r="CA77" t="s">
        <v>229</v>
      </c>
      <c r="CB77" t="s">
        <v>633</v>
      </c>
      <c r="CC77" t="s">
        <v>229</v>
      </c>
      <c r="CD77" t="s">
        <v>633</v>
      </c>
      <c r="CE77" t="s">
        <v>229</v>
      </c>
      <c r="CF77" t="s">
        <v>633</v>
      </c>
      <c r="CG77" t="s">
        <v>229</v>
      </c>
      <c r="CH77" t="s">
        <v>633</v>
      </c>
      <c r="CI77" t="s">
        <v>229</v>
      </c>
      <c r="CJ77" t="s">
        <v>633</v>
      </c>
      <c r="CK77" t="s">
        <v>229</v>
      </c>
      <c r="CL77" t="s">
        <v>633</v>
      </c>
      <c r="CM77" t="s">
        <v>229</v>
      </c>
      <c r="CN77" t="s">
        <v>633</v>
      </c>
      <c r="CO77" t="s">
        <v>229</v>
      </c>
      <c r="CP77" t="s">
        <v>633</v>
      </c>
      <c r="CQ77" t="s">
        <v>229</v>
      </c>
      <c r="CR77" t="s">
        <v>633</v>
      </c>
      <c r="CS77" t="s">
        <v>229</v>
      </c>
      <c r="CT77" t="s">
        <v>633</v>
      </c>
      <c r="CU77" t="s">
        <v>229</v>
      </c>
      <c r="CV77" t="s">
        <v>633</v>
      </c>
      <c r="CW77" t="s">
        <v>229</v>
      </c>
      <c r="CX77" t="s">
        <v>633</v>
      </c>
      <c r="CY77" t="s">
        <v>229</v>
      </c>
      <c r="CZ77" t="s">
        <v>633</v>
      </c>
      <c r="DA77" t="s">
        <v>229</v>
      </c>
      <c r="DB77" t="s">
        <v>633</v>
      </c>
      <c r="DC77" t="s">
        <v>229</v>
      </c>
      <c r="DD77" t="s">
        <v>633</v>
      </c>
      <c r="DE77" t="s">
        <v>229</v>
      </c>
      <c r="DF77" t="s">
        <v>633</v>
      </c>
      <c r="DG77" t="s">
        <v>229</v>
      </c>
      <c r="DH77" t="s">
        <v>633</v>
      </c>
      <c r="DI77" t="s">
        <v>229</v>
      </c>
      <c r="DJ77" t="s">
        <v>633</v>
      </c>
      <c r="DK77" t="s">
        <v>229</v>
      </c>
      <c r="DL77" t="s">
        <v>633</v>
      </c>
      <c r="DM77" t="s">
        <v>229</v>
      </c>
      <c r="DN77" t="s">
        <v>633</v>
      </c>
      <c r="DO77" t="s">
        <v>229</v>
      </c>
      <c r="DP77" t="s">
        <v>633</v>
      </c>
      <c r="DQ77" t="s">
        <v>229</v>
      </c>
      <c r="DR77" t="s">
        <v>633</v>
      </c>
      <c r="DS77" t="s">
        <v>229</v>
      </c>
      <c r="DT77" t="s">
        <v>633</v>
      </c>
      <c r="DU77" t="s">
        <v>229</v>
      </c>
      <c r="DV77" t="s">
        <v>633</v>
      </c>
      <c r="DW77" t="s">
        <v>229</v>
      </c>
      <c r="DX77" t="s">
        <v>633</v>
      </c>
      <c r="DY77" t="s">
        <v>229</v>
      </c>
      <c r="DZ77" t="s">
        <v>633</v>
      </c>
      <c r="EA77" t="s">
        <v>229</v>
      </c>
      <c r="EB77" t="s">
        <v>633</v>
      </c>
      <c r="EC77" t="s">
        <v>229</v>
      </c>
      <c r="ED77" t="s">
        <v>633</v>
      </c>
      <c r="EE77" t="s">
        <v>229</v>
      </c>
      <c r="EF77" t="s">
        <v>633</v>
      </c>
      <c r="EG77" t="s">
        <v>229</v>
      </c>
      <c r="EH77" t="s">
        <v>633</v>
      </c>
      <c r="EI77" t="s">
        <v>229</v>
      </c>
      <c r="EJ77" t="s">
        <v>633</v>
      </c>
      <c r="EK77" t="s">
        <v>229</v>
      </c>
      <c r="EL77" t="s">
        <v>633</v>
      </c>
      <c r="EM77" t="s">
        <v>229</v>
      </c>
      <c r="EN77" t="s">
        <v>633</v>
      </c>
      <c r="EO77" t="s">
        <v>229</v>
      </c>
      <c r="EP77" t="s">
        <v>633</v>
      </c>
      <c r="EQ77" t="s">
        <v>229</v>
      </c>
      <c r="ER77" t="s">
        <v>633</v>
      </c>
      <c r="ES77" t="s">
        <v>229</v>
      </c>
      <c r="ET77" t="s">
        <v>633</v>
      </c>
      <c r="EU77" t="s">
        <v>229</v>
      </c>
      <c r="EV77" t="s">
        <v>633</v>
      </c>
      <c r="EW77" t="s">
        <v>229</v>
      </c>
      <c r="EX77" t="s">
        <v>633</v>
      </c>
      <c r="EY77" t="s">
        <v>229</v>
      </c>
      <c r="EZ77" t="s">
        <v>633</v>
      </c>
      <c r="FA77" t="s">
        <v>229</v>
      </c>
      <c r="FB77" t="s">
        <v>633</v>
      </c>
      <c r="FC77" t="s">
        <v>229</v>
      </c>
      <c r="FD77" t="s">
        <v>633</v>
      </c>
      <c r="FE77" t="s">
        <v>229</v>
      </c>
      <c r="FF77" t="s">
        <v>633</v>
      </c>
      <c r="FG77" t="s">
        <v>229</v>
      </c>
      <c r="FH77" t="s">
        <v>633</v>
      </c>
      <c r="FI77" t="s">
        <v>229</v>
      </c>
      <c r="FJ77" t="s">
        <v>633</v>
      </c>
      <c r="FK77" t="s">
        <v>229</v>
      </c>
      <c r="FL77" t="s">
        <v>633</v>
      </c>
      <c r="FM77" t="s">
        <v>229</v>
      </c>
      <c r="FN77" t="s">
        <v>633</v>
      </c>
      <c r="FO77" t="s">
        <v>229</v>
      </c>
      <c r="FP77" t="s">
        <v>633</v>
      </c>
      <c r="FQ77" t="s">
        <v>229</v>
      </c>
      <c r="FR77" t="s">
        <v>633</v>
      </c>
      <c r="FS77" t="s">
        <v>229</v>
      </c>
      <c r="FT77" t="s">
        <v>633</v>
      </c>
      <c r="FU77" t="s">
        <v>229</v>
      </c>
      <c r="FV77" t="s">
        <v>633</v>
      </c>
      <c r="FW77" t="s">
        <v>229</v>
      </c>
      <c r="FX77" t="s">
        <v>633</v>
      </c>
      <c r="FY77" t="s">
        <v>229</v>
      </c>
      <c r="FZ77" t="s">
        <v>633</v>
      </c>
      <c r="GA77" t="s">
        <v>229</v>
      </c>
      <c r="GB77" t="s">
        <v>633</v>
      </c>
      <c r="GC77" t="s">
        <v>229</v>
      </c>
      <c r="GD77" t="s">
        <v>633</v>
      </c>
      <c r="GE77" t="s">
        <v>229</v>
      </c>
      <c r="GF77" t="s">
        <v>633</v>
      </c>
      <c r="GG77" t="s">
        <v>229</v>
      </c>
      <c r="GH77" t="s">
        <v>633</v>
      </c>
      <c r="GI77" t="s">
        <v>229</v>
      </c>
      <c r="GJ77" t="s">
        <v>633</v>
      </c>
      <c r="GK77" t="s">
        <v>229</v>
      </c>
      <c r="GL77" t="s">
        <v>633</v>
      </c>
      <c r="GM77" t="s">
        <v>229</v>
      </c>
      <c r="GN77" t="s">
        <v>633</v>
      </c>
      <c r="GO77" t="s">
        <v>229</v>
      </c>
      <c r="GP77" t="s">
        <v>633</v>
      </c>
      <c r="GQ77" t="s">
        <v>229</v>
      </c>
      <c r="GR77" t="s">
        <v>633</v>
      </c>
      <c r="GS77" t="s">
        <v>229</v>
      </c>
      <c r="GT77" t="s">
        <v>633</v>
      </c>
      <c r="GU77" t="s">
        <v>229</v>
      </c>
      <c r="GV77" t="s">
        <v>633</v>
      </c>
      <c r="GW77" t="s">
        <v>229</v>
      </c>
      <c r="GX77" t="s">
        <v>633</v>
      </c>
      <c r="GY77" t="s">
        <v>229</v>
      </c>
      <c r="GZ77" t="s">
        <v>633</v>
      </c>
      <c r="HA77" t="s">
        <v>229</v>
      </c>
      <c r="HB77" t="s">
        <v>633</v>
      </c>
      <c r="HC77" t="s">
        <v>229</v>
      </c>
      <c r="HD77" t="s">
        <v>633</v>
      </c>
      <c r="HE77" t="s">
        <v>229</v>
      </c>
      <c r="HF77" t="s">
        <v>633</v>
      </c>
      <c r="HG77" t="s">
        <v>229</v>
      </c>
      <c r="HH77" t="s">
        <v>633</v>
      </c>
      <c r="HI77" t="s">
        <v>229</v>
      </c>
      <c r="HJ77" t="s">
        <v>633</v>
      </c>
      <c r="HK77" t="s">
        <v>229</v>
      </c>
      <c r="HL77" t="s">
        <v>633</v>
      </c>
      <c r="HM77" t="s">
        <v>229</v>
      </c>
      <c r="HN77" t="s">
        <v>633</v>
      </c>
      <c r="HO77" t="s">
        <v>229</v>
      </c>
      <c r="HP77" t="s">
        <v>633</v>
      </c>
      <c r="HQ77" t="s">
        <v>229</v>
      </c>
      <c r="HR77" t="s">
        <v>633</v>
      </c>
      <c r="HS77" t="s">
        <v>229</v>
      </c>
      <c r="HT77" t="s">
        <v>633</v>
      </c>
      <c r="HU77" t="s">
        <v>229</v>
      </c>
      <c r="HV77" t="s">
        <v>633</v>
      </c>
      <c r="HW77" t="s">
        <v>229</v>
      </c>
      <c r="HX77" t="s">
        <v>633</v>
      </c>
      <c r="HY77" t="s">
        <v>229</v>
      </c>
      <c r="HZ77" t="s">
        <v>633</v>
      </c>
      <c r="IA77" t="s">
        <v>229</v>
      </c>
      <c r="IB77" t="s">
        <v>633</v>
      </c>
      <c r="IC77" t="s">
        <v>229</v>
      </c>
      <c r="ID77" t="s">
        <v>633</v>
      </c>
      <c r="IE77" t="s">
        <v>229</v>
      </c>
      <c r="IF77" t="s">
        <v>633</v>
      </c>
      <c r="IG77" t="s">
        <v>229</v>
      </c>
      <c r="IH77" t="s">
        <v>633</v>
      </c>
      <c r="II77" t="s">
        <v>229</v>
      </c>
      <c r="IJ77" t="s">
        <v>633</v>
      </c>
      <c r="IK77" t="s">
        <v>229</v>
      </c>
      <c r="IL77" t="s">
        <v>633</v>
      </c>
      <c r="IM77" t="s">
        <v>229</v>
      </c>
      <c r="IN77" t="s">
        <v>633</v>
      </c>
      <c r="IO77" t="s">
        <v>229</v>
      </c>
      <c r="IP77" t="s">
        <v>633</v>
      </c>
      <c r="IQ77" t="s">
        <v>229</v>
      </c>
      <c r="IR77" t="s">
        <v>633</v>
      </c>
      <c r="IS77" t="s">
        <v>229</v>
      </c>
      <c r="IT77" t="s">
        <v>633</v>
      </c>
      <c r="IU77" t="s">
        <v>229</v>
      </c>
      <c r="IV77" t="s">
        <v>633</v>
      </c>
      <c r="IW77" t="s">
        <v>229</v>
      </c>
      <c r="IX77" t="s">
        <v>633</v>
      </c>
      <c r="IY77" t="s">
        <v>229</v>
      </c>
      <c r="IZ77" t="s">
        <v>633</v>
      </c>
      <c r="JA77" t="s">
        <v>229</v>
      </c>
      <c r="JB77" t="s">
        <v>633</v>
      </c>
      <c r="JC77" t="s">
        <v>229</v>
      </c>
      <c r="JD77" t="s">
        <v>633</v>
      </c>
      <c r="JE77" t="s">
        <v>229</v>
      </c>
      <c r="JF77" t="s">
        <v>633</v>
      </c>
      <c r="JG77" t="s">
        <v>229</v>
      </c>
      <c r="JH77" t="s">
        <v>633</v>
      </c>
      <c r="JI77" t="s">
        <v>229</v>
      </c>
      <c r="JJ77" t="s">
        <v>633</v>
      </c>
      <c r="JK77" t="s">
        <v>229</v>
      </c>
      <c r="JL77" t="s">
        <v>633</v>
      </c>
      <c r="JM77" t="s">
        <v>229</v>
      </c>
      <c r="JN77" t="s">
        <v>633</v>
      </c>
      <c r="JO77" t="s">
        <v>229</v>
      </c>
      <c r="JP77" t="s">
        <v>633</v>
      </c>
      <c r="JQ77" t="s">
        <v>229</v>
      </c>
      <c r="JR77" t="s">
        <v>633</v>
      </c>
      <c r="JS77" t="s">
        <v>229</v>
      </c>
      <c r="JT77" t="s">
        <v>633</v>
      </c>
      <c r="JU77" t="s">
        <v>229</v>
      </c>
      <c r="JV77" t="s">
        <v>633</v>
      </c>
      <c r="JW77" t="s">
        <v>229</v>
      </c>
      <c r="JX77" t="s">
        <v>633</v>
      </c>
      <c r="JY77" t="s">
        <v>229</v>
      </c>
      <c r="JZ77" t="s">
        <v>633</v>
      </c>
      <c r="KA77" t="s">
        <v>229</v>
      </c>
      <c r="KB77" t="s">
        <v>633</v>
      </c>
      <c r="KC77" t="s">
        <v>229</v>
      </c>
      <c r="KD77" t="s">
        <v>633</v>
      </c>
      <c r="KE77" t="s">
        <v>229</v>
      </c>
      <c r="KF77" t="s">
        <v>633</v>
      </c>
      <c r="KG77" t="s">
        <v>229</v>
      </c>
      <c r="KH77" t="s">
        <v>633</v>
      </c>
      <c r="KI77" t="s">
        <v>229</v>
      </c>
      <c r="KJ77" t="s">
        <v>633</v>
      </c>
      <c r="KK77" t="s">
        <v>229</v>
      </c>
      <c r="KL77" t="s">
        <v>633</v>
      </c>
      <c r="KM77" t="s">
        <v>229</v>
      </c>
      <c r="KN77" t="s">
        <v>633</v>
      </c>
      <c r="KO77" t="s">
        <v>229</v>
      </c>
      <c r="KP77" t="s">
        <v>633</v>
      </c>
      <c r="KQ77" t="s">
        <v>229</v>
      </c>
      <c r="KR77" t="s">
        <v>633</v>
      </c>
      <c r="KS77" t="s">
        <v>229</v>
      </c>
      <c r="KT77" t="s">
        <v>633</v>
      </c>
      <c r="KU77" t="s">
        <v>229</v>
      </c>
      <c r="KV77" t="s">
        <v>633</v>
      </c>
      <c r="KW77" t="s">
        <v>229</v>
      </c>
      <c r="KX77" t="s">
        <v>633</v>
      </c>
      <c r="KY77" t="s">
        <v>229</v>
      </c>
      <c r="KZ77" t="s">
        <v>633</v>
      </c>
      <c r="LA77" t="s">
        <v>229</v>
      </c>
      <c r="LB77" t="s">
        <v>633</v>
      </c>
      <c r="LC77" t="s">
        <v>229</v>
      </c>
      <c r="LD77" t="s">
        <v>633</v>
      </c>
      <c r="LE77" t="s">
        <v>229</v>
      </c>
      <c r="LF77" t="s">
        <v>633</v>
      </c>
      <c r="LG77" t="s">
        <v>229</v>
      </c>
      <c r="LH77" t="s">
        <v>633</v>
      </c>
      <c r="LI77" t="s">
        <v>229</v>
      </c>
      <c r="LJ77" t="s">
        <v>633</v>
      </c>
      <c r="LK77" t="s">
        <v>229</v>
      </c>
      <c r="LL77" t="s">
        <v>633</v>
      </c>
      <c r="LM77" t="s">
        <v>229</v>
      </c>
      <c r="LN77" t="s">
        <v>633</v>
      </c>
      <c r="LO77" t="s">
        <v>229</v>
      </c>
      <c r="LP77" t="s">
        <v>633</v>
      </c>
      <c r="LQ77" t="s">
        <v>229</v>
      </c>
      <c r="LR77" t="s">
        <v>633</v>
      </c>
      <c r="LS77" t="s">
        <v>229</v>
      </c>
      <c r="LT77" t="s">
        <v>633</v>
      </c>
      <c r="LU77" t="s">
        <v>229</v>
      </c>
      <c r="LV77" t="s">
        <v>633</v>
      </c>
      <c r="LW77" t="s">
        <v>229</v>
      </c>
      <c r="LX77" t="s">
        <v>633</v>
      </c>
      <c r="LY77" t="s">
        <v>229</v>
      </c>
      <c r="LZ77" t="s">
        <v>633</v>
      </c>
      <c r="MA77" t="s">
        <v>229</v>
      </c>
      <c r="MB77" t="s">
        <v>633</v>
      </c>
      <c r="MC77" t="s">
        <v>229</v>
      </c>
      <c r="MD77" t="s">
        <v>633</v>
      </c>
      <c r="ME77" t="s">
        <v>229</v>
      </c>
      <c r="MF77" t="s">
        <v>633</v>
      </c>
      <c r="MG77" t="s">
        <v>229</v>
      </c>
      <c r="MH77" t="s">
        <v>633</v>
      </c>
      <c r="MI77" t="s">
        <v>229</v>
      </c>
      <c r="MJ77" t="s">
        <v>633</v>
      </c>
      <c r="MK77" t="s">
        <v>229</v>
      </c>
      <c r="ML77" t="s">
        <v>633</v>
      </c>
      <c r="MM77" t="s">
        <v>229</v>
      </c>
      <c r="MN77" t="s">
        <v>633</v>
      </c>
      <c r="MO77" t="s">
        <v>229</v>
      </c>
      <c r="MP77" t="s">
        <v>633</v>
      </c>
      <c r="MQ77" t="s">
        <v>229</v>
      </c>
      <c r="MR77" t="s">
        <v>633</v>
      </c>
      <c r="MS77" t="s">
        <v>229</v>
      </c>
      <c r="MT77" t="s">
        <v>633</v>
      </c>
      <c r="MU77" t="s">
        <v>229</v>
      </c>
      <c r="MV77" t="s">
        <v>633</v>
      </c>
      <c r="MW77" t="s">
        <v>229</v>
      </c>
      <c r="MX77" t="s">
        <v>633</v>
      </c>
      <c r="MY77" t="s">
        <v>229</v>
      </c>
      <c r="MZ77" t="s">
        <v>633</v>
      </c>
      <c r="NA77" t="s">
        <v>229</v>
      </c>
      <c r="NB77" t="s">
        <v>633</v>
      </c>
      <c r="NC77" t="s">
        <v>229</v>
      </c>
      <c r="ND77" t="s">
        <v>633</v>
      </c>
      <c r="NE77" t="s">
        <v>229</v>
      </c>
      <c r="NF77" t="s">
        <v>633</v>
      </c>
      <c r="NG77" t="s">
        <v>229</v>
      </c>
      <c r="NH77" t="s">
        <v>633</v>
      </c>
      <c r="NI77" t="s">
        <v>229</v>
      </c>
      <c r="NJ77" t="s">
        <v>633</v>
      </c>
      <c r="NK77" t="s">
        <v>229</v>
      </c>
      <c r="NL77" t="s">
        <v>633</v>
      </c>
      <c r="NM77" t="s">
        <v>229</v>
      </c>
      <c r="NN77" t="s">
        <v>633</v>
      </c>
      <c r="NO77" t="s">
        <v>229</v>
      </c>
      <c r="NP77" t="s">
        <v>633</v>
      </c>
      <c r="NQ77" t="s">
        <v>229</v>
      </c>
      <c r="NR77" t="s">
        <v>633</v>
      </c>
      <c r="NS77" t="s">
        <v>229</v>
      </c>
      <c r="NT77" t="s">
        <v>633</v>
      </c>
      <c r="NU77" t="s">
        <v>229</v>
      </c>
      <c r="NV77" t="s">
        <v>633</v>
      </c>
      <c r="NW77" t="s">
        <v>229</v>
      </c>
      <c r="NX77" t="s">
        <v>633</v>
      </c>
      <c r="NY77" t="s">
        <v>229</v>
      </c>
      <c r="NZ77" t="s">
        <v>633</v>
      </c>
      <c r="OA77" t="s">
        <v>229</v>
      </c>
      <c r="OB77" t="s">
        <v>633</v>
      </c>
      <c r="OC77" t="s">
        <v>229</v>
      </c>
      <c r="OD77" t="s">
        <v>633</v>
      </c>
      <c r="OE77" t="s">
        <v>229</v>
      </c>
      <c r="OF77" t="s">
        <v>633</v>
      </c>
      <c r="OG77" t="s">
        <v>229</v>
      </c>
      <c r="OH77" t="s">
        <v>633</v>
      </c>
      <c r="OI77" t="s">
        <v>229</v>
      </c>
      <c r="OJ77" t="s">
        <v>633</v>
      </c>
      <c r="OK77" t="s">
        <v>229</v>
      </c>
      <c r="OL77" t="s">
        <v>633</v>
      </c>
      <c r="OM77" t="s">
        <v>229</v>
      </c>
      <c r="ON77" t="s">
        <v>633</v>
      </c>
      <c r="OO77" t="s">
        <v>229</v>
      </c>
      <c r="OP77" t="s">
        <v>633</v>
      </c>
      <c r="OQ77" t="s">
        <v>229</v>
      </c>
      <c r="OR77" t="s">
        <v>633</v>
      </c>
      <c r="OS77" t="s">
        <v>229</v>
      </c>
      <c r="OT77" t="s">
        <v>633</v>
      </c>
      <c r="OU77" t="s">
        <v>229</v>
      </c>
      <c r="OV77" t="s">
        <v>633</v>
      </c>
      <c r="OW77" t="s">
        <v>229</v>
      </c>
      <c r="OX77" t="s">
        <v>633</v>
      </c>
      <c r="OY77" t="s">
        <v>229</v>
      </c>
      <c r="OZ77" t="s">
        <v>633</v>
      </c>
      <c r="PA77" t="s">
        <v>229</v>
      </c>
      <c r="PB77" t="s">
        <v>633</v>
      </c>
      <c r="PC77" t="s">
        <v>229</v>
      </c>
      <c r="PD77" t="s">
        <v>633</v>
      </c>
      <c r="PE77" t="s">
        <v>229</v>
      </c>
      <c r="PF77" t="s">
        <v>633</v>
      </c>
      <c r="PG77" t="s">
        <v>229</v>
      </c>
      <c r="PH77" t="s">
        <v>633</v>
      </c>
      <c r="PI77" t="s">
        <v>229</v>
      </c>
      <c r="PJ77" t="s">
        <v>633</v>
      </c>
      <c r="PK77" t="s">
        <v>229</v>
      </c>
      <c r="PL77" t="s">
        <v>633</v>
      </c>
      <c r="PM77" t="s">
        <v>229</v>
      </c>
      <c r="PN77" t="s">
        <v>633</v>
      </c>
      <c r="PO77" t="s">
        <v>229</v>
      </c>
      <c r="PP77" t="s">
        <v>633</v>
      </c>
      <c r="PQ77" t="s">
        <v>229</v>
      </c>
      <c r="PR77" t="s">
        <v>633</v>
      </c>
      <c r="PS77" t="s">
        <v>229</v>
      </c>
      <c r="PT77" t="s">
        <v>633</v>
      </c>
      <c r="PU77" t="s">
        <v>229</v>
      </c>
      <c r="PV77" t="s">
        <v>633</v>
      </c>
      <c r="PW77" t="s">
        <v>229</v>
      </c>
      <c r="PX77" t="s">
        <v>633</v>
      </c>
      <c r="PY77" t="s">
        <v>229</v>
      </c>
      <c r="PZ77" t="s">
        <v>633</v>
      </c>
      <c r="QA77" t="s">
        <v>229</v>
      </c>
      <c r="QB77" t="s">
        <v>633</v>
      </c>
      <c r="QC77" t="s">
        <v>229</v>
      </c>
      <c r="QD77" t="s">
        <v>633</v>
      </c>
      <c r="QE77" t="s">
        <v>229</v>
      </c>
      <c r="QF77" t="s">
        <v>633</v>
      </c>
      <c r="QG77" t="s">
        <v>229</v>
      </c>
      <c r="QH77" t="s">
        <v>633</v>
      </c>
      <c r="QI77" t="s">
        <v>229</v>
      </c>
      <c r="QJ77" t="s">
        <v>633</v>
      </c>
      <c r="QK77" t="s">
        <v>229</v>
      </c>
      <c r="QL77" t="s">
        <v>633</v>
      </c>
      <c r="QM77" t="s">
        <v>229</v>
      </c>
      <c r="QN77" t="s">
        <v>633</v>
      </c>
      <c r="QO77" t="s">
        <v>229</v>
      </c>
      <c r="QP77" t="s">
        <v>633</v>
      </c>
      <c r="QQ77" t="s">
        <v>229</v>
      </c>
      <c r="QR77" t="s">
        <v>633</v>
      </c>
      <c r="QS77" t="s">
        <v>229</v>
      </c>
      <c r="QT77" t="s">
        <v>633</v>
      </c>
      <c r="QU77" t="s">
        <v>229</v>
      </c>
      <c r="QV77" t="s">
        <v>633</v>
      </c>
      <c r="QW77" t="s">
        <v>229</v>
      </c>
      <c r="QX77" t="s">
        <v>633</v>
      </c>
      <c r="QY77" t="s">
        <v>229</v>
      </c>
      <c r="QZ77" t="s">
        <v>633</v>
      </c>
      <c r="RA77" t="s">
        <v>229</v>
      </c>
      <c r="RB77" t="s">
        <v>633</v>
      </c>
      <c r="RC77" t="s">
        <v>229</v>
      </c>
      <c r="RD77" t="s">
        <v>633</v>
      </c>
      <c r="RE77" t="s">
        <v>229</v>
      </c>
      <c r="RF77" t="s">
        <v>633</v>
      </c>
      <c r="RG77" t="s">
        <v>229</v>
      </c>
      <c r="RH77" t="s">
        <v>633</v>
      </c>
      <c r="RI77" t="s">
        <v>229</v>
      </c>
      <c r="RJ77" t="s">
        <v>633</v>
      </c>
      <c r="RK77" t="s">
        <v>229</v>
      </c>
      <c r="RL77" t="s">
        <v>633</v>
      </c>
      <c r="RM77" t="s">
        <v>229</v>
      </c>
      <c r="RN77" t="s">
        <v>633</v>
      </c>
      <c r="RO77" t="s">
        <v>229</v>
      </c>
      <c r="RP77" t="s">
        <v>633</v>
      </c>
      <c r="RQ77" t="s">
        <v>229</v>
      </c>
      <c r="RR77" t="s">
        <v>633</v>
      </c>
      <c r="RS77" t="s">
        <v>229</v>
      </c>
      <c r="RT77" t="s">
        <v>633</v>
      </c>
      <c r="RU77" t="s">
        <v>229</v>
      </c>
      <c r="RV77" t="s">
        <v>633</v>
      </c>
      <c r="RW77" t="s">
        <v>229</v>
      </c>
      <c r="RX77" t="s">
        <v>633</v>
      </c>
      <c r="RY77" t="s">
        <v>229</v>
      </c>
      <c r="RZ77" t="s">
        <v>633</v>
      </c>
      <c r="SA77" t="s">
        <v>229</v>
      </c>
      <c r="SB77" t="s">
        <v>633</v>
      </c>
      <c r="SC77" t="s">
        <v>229</v>
      </c>
      <c r="SD77" t="s">
        <v>633</v>
      </c>
      <c r="SE77" t="s">
        <v>229</v>
      </c>
      <c r="SF77" t="s">
        <v>633</v>
      </c>
      <c r="SG77" t="s">
        <v>229</v>
      </c>
      <c r="SH77" t="s">
        <v>633</v>
      </c>
      <c r="SI77" t="s">
        <v>229</v>
      </c>
      <c r="SJ77" t="s">
        <v>633</v>
      </c>
      <c r="SK77" t="s">
        <v>229</v>
      </c>
      <c r="SL77" t="s">
        <v>633</v>
      </c>
      <c r="SM77" t="s">
        <v>229</v>
      </c>
      <c r="SN77" t="s">
        <v>633</v>
      </c>
      <c r="SO77" t="s">
        <v>229</v>
      </c>
      <c r="SP77" t="s">
        <v>633</v>
      </c>
      <c r="SQ77" t="s">
        <v>229</v>
      </c>
      <c r="SR77" t="s">
        <v>633</v>
      </c>
      <c r="SS77" t="s">
        <v>229</v>
      </c>
      <c r="ST77" t="s">
        <v>633</v>
      </c>
      <c r="SU77" t="s">
        <v>229</v>
      </c>
      <c r="SV77" t="s">
        <v>633</v>
      </c>
      <c r="SW77" t="s">
        <v>229</v>
      </c>
      <c r="SX77" t="s">
        <v>633</v>
      </c>
      <c r="SY77" t="s">
        <v>229</v>
      </c>
      <c r="SZ77" t="s">
        <v>633</v>
      </c>
      <c r="TA77" t="s">
        <v>229</v>
      </c>
      <c r="TB77" t="s">
        <v>633</v>
      </c>
      <c r="TC77" t="s">
        <v>229</v>
      </c>
      <c r="TD77" t="s">
        <v>633</v>
      </c>
      <c r="TE77" t="s">
        <v>229</v>
      </c>
      <c r="TF77" t="s">
        <v>633</v>
      </c>
      <c r="TG77" t="s">
        <v>229</v>
      </c>
      <c r="TH77" t="s">
        <v>633</v>
      </c>
      <c r="TI77" t="s">
        <v>229</v>
      </c>
      <c r="TJ77" t="s">
        <v>633</v>
      </c>
      <c r="TK77" t="s">
        <v>229</v>
      </c>
      <c r="TL77" t="s">
        <v>633</v>
      </c>
      <c r="TM77" t="s">
        <v>229</v>
      </c>
      <c r="TN77" t="s">
        <v>633</v>
      </c>
      <c r="TO77" t="s">
        <v>229</v>
      </c>
      <c r="TP77" t="s">
        <v>633</v>
      </c>
      <c r="TQ77" t="s">
        <v>229</v>
      </c>
      <c r="TR77" t="s">
        <v>633</v>
      </c>
      <c r="TS77" t="s">
        <v>229</v>
      </c>
      <c r="TT77" t="s">
        <v>633</v>
      </c>
      <c r="TU77" t="s">
        <v>229</v>
      </c>
      <c r="TV77" t="s">
        <v>633</v>
      </c>
      <c r="TW77" t="s">
        <v>229</v>
      </c>
      <c r="TX77" t="s">
        <v>633</v>
      </c>
      <c r="TY77" t="s">
        <v>229</v>
      </c>
      <c r="TZ77" t="s">
        <v>633</v>
      </c>
      <c r="UA77" t="s">
        <v>229</v>
      </c>
      <c r="UB77" t="s">
        <v>633</v>
      </c>
      <c r="UC77" t="s">
        <v>229</v>
      </c>
      <c r="UD77" t="s">
        <v>633</v>
      </c>
      <c r="UE77" t="s">
        <v>229</v>
      </c>
      <c r="UF77" t="s">
        <v>633</v>
      </c>
      <c r="UG77" t="s">
        <v>229</v>
      </c>
      <c r="UH77" t="s">
        <v>633</v>
      </c>
      <c r="UI77" t="s">
        <v>229</v>
      </c>
      <c r="UJ77" t="s">
        <v>633</v>
      </c>
      <c r="UK77" t="s">
        <v>229</v>
      </c>
      <c r="UL77" t="s">
        <v>633</v>
      </c>
      <c r="UM77" t="s">
        <v>229</v>
      </c>
      <c r="UN77" t="s">
        <v>633</v>
      </c>
      <c r="UO77" t="s">
        <v>229</v>
      </c>
      <c r="UP77" t="s">
        <v>633</v>
      </c>
      <c r="UQ77" t="s">
        <v>229</v>
      </c>
      <c r="UR77" t="s">
        <v>633</v>
      </c>
      <c r="US77" t="s">
        <v>229</v>
      </c>
      <c r="UT77" t="s">
        <v>633</v>
      </c>
      <c r="UU77" t="s">
        <v>229</v>
      </c>
      <c r="UV77" t="s">
        <v>633</v>
      </c>
      <c r="UW77" t="s">
        <v>229</v>
      </c>
      <c r="UX77" t="s">
        <v>633</v>
      </c>
      <c r="UY77" t="s">
        <v>229</v>
      </c>
      <c r="UZ77" t="s">
        <v>633</v>
      </c>
      <c r="VA77" t="s">
        <v>229</v>
      </c>
      <c r="VB77" t="s">
        <v>633</v>
      </c>
      <c r="VC77" t="s">
        <v>229</v>
      </c>
      <c r="VD77" t="s">
        <v>633</v>
      </c>
      <c r="VE77" t="s">
        <v>229</v>
      </c>
      <c r="VF77" t="s">
        <v>633</v>
      </c>
      <c r="VG77" t="s">
        <v>229</v>
      </c>
      <c r="VH77" t="s">
        <v>633</v>
      </c>
      <c r="VI77" t="s">
        <v>229</v>
      </c>
      <c r="VJ77" t="s">
        <v>633</v>
      </c>
      <c r="VK77" t="s">
        <v>229</v>
      </c>
      <c r="VL77" t="s">
        <v>633</v>
      </c>
      <c r="VM77" t="s">
        <v>229</v>
      </c>
      <c r="VN77" t="s">
        <v>633</v>
      </c>
      <c r="VO77" t="s">
        <v>229</v>
      </c>
      <c r="VP77" t="s">
        <v>633</v>
      </c>
      <c r="VQ77" t="s">
        <v>229</v>
      </c>
      <c r="VR77" t="s">
        <v>633</v>
      </c>
      <c r="VS77" t="s">
        <v>229</v>
      </c>
      <c r="VT77" t="s">
        <v>633</v>
      </c>
      <c r="VU77" t="s">
        <v>229</v>
      </c>
      <c r="VV77" t="s">
        <v>633</v>
      </c>
      <c r="VW77" t="s">
        <v>229</v>
      </c>
      <c r="VX77" t="s">
        <v>633</v>
      </c>
      <c r="VY77" t="s">
        <v>229</v>
      </c>
      <c r="VZ77" t="s">
        <v>633</v>
      </c>
      <c r="WA77" t="s">
        <v>229</v>
      </c>
      <c r="WB77" t="s">
        <v>633</v>
      </c>
      <c r="WC77" t="s">
        <v>229</v>
      </c>
      <c r="WD77" t="s">
        <v>633</v>
      </c>
      <c r="WE77" t="s">
        <v>229</v>
      </c>
      <c r="WF77" t="s">
        <v>633</v>
      </c>
      <c r="WG77" t="s">
        <v>229</v>
      </c>
      <c r="WH77" t="s">
        <v>633</v>
      </c>
      <c r="WI77" t="s">
        <v>229</v>
      </c>
      <c r="WJ77" t="s">
        <v>633</v>
      </c>
      <c r="WK77" t="s">
        <v>229</v>
      </c>
      <c r="WL77" t="s">
        <v>633</v>
      </c>
      <c r="WM77" t="s">
        <v>229</v>
      </c>
      <c r="WN77" t="s">
        <v>633</v>
      </c>
      <c r="WO77" t="s">
        <v>229</v>
      </c>
      <c r="WP77" t="s">
        <v>633</v>
      </c>
      <c r="WQ77" t="s">
        <v>229</v>
      </c>
      <c r="WR77" t="s">
        <v>633</v>
      </c>
      <c r="WS77" t="s">
        <v>229</v>
      </c>
      <c r="WT77" t="s">
        <v>633</v>
      </c>
      <c r="WU77" t="s">
        <v>229</v>
      </c>
      <c r="WV77" t="s">
        <v>633</v>
      </c>
      <c r="WW77" t="s">
        <v>229</v>
      </c>
      <c r="WX77" t="s">
        <v>633</v>
      </c>
      <c r="WY77" t="s">
        <v>229</v>
      </c>
      <c r="WZ77" t="s">
        <v>633</v>
      </c>
      <c r="XA77" t="s">
        <v>229</v>
      </c>
      <c r="XB77" t="s">
        <v>633</v>
      </c>
      <c r="XC77" t="s">
        <v>229</v>
      </c>
      <c r="XD77" t="s">
        <v>633</v>
      </c>
      <c r="XE77" t="s">
        <v>229</v>
      </c>
      <c r="XF77" t="s">
        <v>633</v>
      </c>
      <c r="XG77" t="s">
        <v>229</v>
      </c>
      <c r="XH77" t="s">
        <v>633</v>
      </c>
      <c r="XI77" t="s">
        <v>229</v>
      </c>
      <c r="XJ77" t="s">
        <v>633</v>
      </c>
      <c r="XK77" t="s">
        <v>229</v>
      </c>
      <c r="XL77" t="s">
        <v>633</v>
      </c>
      <c r="XM77" t="s">
        <v>229</v>
      </c>
      <c r="XN77" t="s">
        <v>633</v>
      </c>
      <c r="XO77" t="s">
        <v>229</v>
      </c>
      <c r="XP77" t="s">
        <v>633</v>
      </c>
      <c r="XQ77" t="s">
        <v>229</v>
      </c>
      <c r="XR77" t="s">
        <v>633</v>
      </c>
      <c r="XS77" t="s">
        <v>229</v>
      </c>
      <c r="XT77" t="s">
        <v>633</v>
      </c>
      <c r="XU77" t="s">
        <v>229</v>
      </c>
      <c r="XV77" t="s">
        <v>633</v>
      </c>
      <c r="XW77" t="s">
        <v>229</v>
      </c>
      <c r="XX77" t="s">
        <v>633</v>
      </c>
      <c r="XY77" t="s">
        <v>229</v>
      </c>
      <c r="XZ77" t="s">
        <v>633</v>
      </c>
      <c r="YA77" t="s">
        <v>229</v>
      </c>
      <c r="YB77" t="s">
        <v>633</v>
      </c>
      <c r="YC77" t="s">
        <v>229</v>
      </c>
      <c r="YD77" t="s">
        <v>633</v>
      </c>
      <c r="YE77" t="s">
        <v>229</v>
      </c>
      <c r="YF77" t="s">
        <v>633</v>
      </c>
      <c r="YG77" t="s">
        <v>229</v>
      </c>
      <c r="YH77" t="s">
        <v>633</v>
      </c>
      <c r="YI77" t="s">
        <v>229</v>
      </c>
      <c r="YJ77" t="s">
        <v>633</v>
      </c>
      <c r="YK77" t="s">
        <v>229</v>
      </c>
      <c r="YL77" t="s">
        <v>633</v>
      </c>
      <c r="YM77" t="s">
        <v>229</v>
      </c>
      <c r="YN77" t="s">
        <v>633</v>
      </c>
      <c r="YO77" t="s">
        <v>229</v>
      </c>
      <c r="YP77" t="s">
        <v>633</v>
      </c>
      <c r="YQ77" t="s">
        <v>229</v>
      </c>
      <c r="YR77" t="s">
        <v>633</v>
      </c>
      <c r="YS77" t="s">
        <v>229</v>
      </c>
      <c r="YT77" t="s">
        <v>633</v>
      </c>
      <c r="YU77" t="s">
        <v>229</v>
      </c>
      <c r="YV77" t="s">
        <v>633</v>
      </c>
      <c r="YW77" t="s">
        <v>229</v>
      </c>
      <c r="YX77" t="s">
        <v>633</v>
      </c>
      <c r="YY77" t="s">
        <v>229</v>
      </c>
      <c r="YZ77" t="s">
        <v>633</v>
      </c>
      <c r="ZA77" t="s">
        <v>229</v>
      </c>
      <c r="ZB77" t="s">
        <v>633</v>
      </c>
      <c r="ZC77" t="s">
        <v>229</v>
      </c>
      <c r="ZD77" t="s">
        <v>633</v>
      </c>
      <c r="ZE77" t="s">
        <v>229</v>
      </c>
      <c r="ZF77" t="s">
        <v>633</v>
      </c>
      <c r="ZG77" t="s">
        <v>229</v>
      </c>
      <c r="ZH77" t="s">
        <v>633</v>
      </c>
      <c r="ZI77" t="s">
        <v>229</v>
      </c>
      <c r="ZJ77" t="s">
        <v>633</v>
      </c>
      <c r="ZK77" t="s">
        <v>229</v>
      </c>
      <c r="ZL77" t="s">
        <v>633</v>
      </c>
      <c r="ZM77" t="s">
        <v>229</v>
      </c>
      <c r="ZN77" t="s">
        <v>633</v>
      </c>
      <c r="ZO77" t="s">
        <v>229</v>
      </c>
      <c r="ZP77" t="s">
        <v>633</v>
      </c>
      <c r="ZQ77" t="s">
        <v>229</v>
      </c>
      <c r="ZR77" t="s">
        <v>633</v>
      </c>
      <c r="ZS77" t="s">
        <v>229</v>
      </c>
      <c r="ZT77" t="s">
        <v>633</v>
      </c>
      <c r="ZU77" t="s">
        <v>229</v>
      </c>
      <c r="ZV77" t="s">
        <v>633</v>
      </c>
      <c r="ZW77" t="s">
        <v>229</v>
      </c>
      <c r="ZX77" t="s">
        <v>633</v>
      </c>
      <c r="ZY77" t="s">
        <v>229</v>
      </c>
      <c r="ZZ77" t="s">
        <v>633</v>
      </c>
      <c r="AAA77" t="s">
        <v>229</v>
      </c>
      <c r="AAB77" t="s">
        <v>633</v>
      </c>
      <c r="AAC77" t="s">
        <v>229</v>
      </c>
      <c r="AAD77" t="s">
        <v>633</v>
      </c>
      <c r="AAE77" t="s">
        <v>229</v>
      </c>
      <c r="AAF77" t="s">
        <v>633</v>
      </c>
      <c r="AAG77" t="s">
        <v>229</v>
      </c>
      <c r="AAH77" t="s">
        <v>633</v>
      </c>
      <c r="AAI77" t="s">
        <v>229</v>
      </c>
      <c r="AAJ77" t="s">
        <v>633</v>
      </c>
      <c r="AAK77" t="s">
        <v>229</v>
      </c>
      <c r="AAL77" t="s">
        <v>633</v>
      </c>
      <c r="AAM77" t="s">
        <v>229</v>
      </c>
      <c r="AAN77" t="s">
        <v>633</v>
      </c>
      <c r="AAO77" t="s">
        <v>229</v>
      </c>
      <c r="AAP77" t="s">
        <v>633</v>
      </c>
      <c r="AAQ77" t="s">
        <v>229</v>
      </c>
      <c r="AAR77" t="s">
        <v>633</v>
      </c>
      <c r="AAS77" t="s">
        <v>229</v>
      </c>
      <c r="AAT77" t="s">
        <v>633</v>
      </c>
      <c r="AAU77" t="s">
        <v>229</v>
      </c>
      <c r="AAV77" t="s">
        <v>633</v>
      </c>
      <c r="AAW77" t="s">
        <v>229</v>
      </c>
      <c r="AAX77" t="s">
        <v>633</v>
      </c>
      <c r="AAY77" t="s">
        <v>229</v>
      </c>
      <c r="AAZ77" t="s">
        <v>633</v>
      </c>
      <c r="ABA77" t="s">
        <v>229</v>
      </c>
      <c r="ABB77" t="s">
        <v>633</v>
      </c>
      <c r="ABC77" t="s">
        <v>229</v>
      </c>
      <c r="ABD77" t="s">
        <v>633</v>
      </c>
      <c r="ABE77" t="s">
        <v>229</v>
      </c>
      <c r="ABF77" t="s">
        <v>633</v>
      </c>
      <c r="ABG77" t="s">
        <v>229</v>
      </c>
      <c r="ABH77" t="s">
        <v>633</v>
      </c>
      <c r="ABI77" t="s">
        <v>229</v>
      </c>
      <c r="ABJ77" t="s">
        <v>633</v>
      </c>
      <c r="ABK77" t="s">
        <v>229</v>
      </c>
      <c r="ABL77" t="s">
        <v>633</v>
      </c>
      <c r="ABM77" t="s">
        <v>229</v>
      </c>
      <c r="ABN77" t="s">
        <v>633</v>
      </c>
      <c r="ABO77" t="s">
        <v>229</v>
      </c>
      <c r="ABP77" t="s">
        <v>633</v>
      </c>
      <c r="ABQ77" t="s">
        <v>229</v>
      </c>
      <c r="ABR77" t="s">
        <v>633</v>
      </c>
      <c r="ABS77" t="s">
        <v>229</v>
      </c>
      <c r="ABT77" t="s">
        <v>633</v>
      </c>
      <c r="ABU77" t="s">
        <v>229</v>
      </c>
      <c r="ABV77" t="s">
        <v>633</v>
      </c>
      <c r="ABW77" t="s">
        <v>229</v>
      </c>
      <c r="ABX77" t="s">
        <v>633</v>
      </c>
      <c r="ABY77" t="s">
        <v>229</v>
      </c>
      <c r="ABZ77" t="s">
        <v>633</v>
      </c>
      <c r="ACA77" t="s">
        <v>229</v>
      </c>
      <c r="ACB77" t="s">
        <v>633</v>
      </c>
      <c r="ACC77" t="s">
        <v>229</v>
      </c>
      <c r="ACD77" t="s">
        <v>633</v>
      </c>
      <c r="ACE77" t="s">
        <v>229</v>
      </c>
      <c r="ACF77" t="s">
        <v>633</v>
      </c>
      <c r="ACG77" t="s">
        <v>229</v>
      </c>
      <c r="ACH77" t="s">
        <v>633</v>
      </c>
      <c r="ACI77" t="s">
        <v>229</v>
      </c>
      <c r="ACJ77" t="s">
        <v>633</v>
      </c>
      <c r="ACK77" t="s">
        <v>229</v>
      </c>
      <c r="ACL77" t="s">
        <v>633</v>
      </c>
      <c r="ACM77" t="s">
        <v>229</v>
      </c>
      <c r="ACN77" t="s">
        <v>633</v>
      </c>
      <c r="ACO77" t="s">
        <v>229</v>
      </c>
      <c r="ACP77" t="s">
        <v>633</v>
      </c>
      <c r="ACQ77" t="s">
        <v>229</v>
      </c>
      <c r="ACR77" t="s">
        <v>633</v>
      </c>
      <c r="ACS77" t="s">
        <v>229</v>
      </c>
      <c r="ACT77" t="s">
        <v>633</v>
      </c>
      <c r="ACU77" t="s">
        <v>229</v>
      </c>
      <c r="ACV77" t="s">
        <v>633</v>
      </c>
      <c r="ACW77" t="s">
        <v>229</v>
      </c>
      <c r="ACX77" t="s">
        <v>633</v>
      </c>
      <c r="ACY77" t="s">
        <v>229</v>
      </c>
      <c r="ACZ77" t="s">
        <v>633</v>
      </c>
      <c r="ADA77" t="s">
        <v>229</v>
      </c>
      <c r="ADB77" t="s">
        <v>633</v>
      </c>
      <c r="ADC77" t="s">
        <v>229</v>
      </c>
      <c r="ADD77" t="s">
        <v>633</v>
      </c>
      <c r="ADE77" t="s">
        <v>229</v>
      </c>
      <c r="ADF77" t="s">
        <v>633</v>
      </c>
      <c r="ADG77" t="s">
        <v>229</v>
      </c>
      <c r="ADH77" t="s">
        <v>633</v>
      </c>
      <c r="ADI77" t="s">
        <v>229</v>
      </c>
      <c r="ADJ77" t="s">
        <v>633</v>
      </c>
      <c r="ADK77" t="s">
        <v>229</v>
      </c>
      <c r="ADL77" t="s">
        <v>633</v>
      </c>
      <c r="ADM77" t="s">
        <v>229</v>
      </c>
      <c r="ADN77" t="s">
        <v>633</v>
      </c>
      <c r="ADO77" t="s">
        <v>229</v>
      </c>
      <c r="ADP77" t="s">
        <v>633</v>
      </c>
      <c r="ADQ77" t="s">
        <v>229</v>
      </c>
      <c r="ADR77" t="s">
        <v>633</v>
      </c>
      <c r="ADS77" t="s">
        <v>229</v>
      </c>
      <c r="ADT77" t="s">
        <v>633</v>
      </c>
      <c r="ADU77" t="s">
        <v>229</v>
      </c>
      <c r="ADV77" t="s">
        <v>633</v>
      </c>
      <c r="ADW77" t="s">
        <v>229</v>
      </c>
      <c r="ADX77" t="s">
        <v>633</v>
      </c>
      <c r="ADY77" t="s">
        <v>229</v>
      </c>
      <c r="ADZ77" t="s">
        <v>633</v>
      </c>
      <c r="AEA77" t="s">
        <v>229</v>
      </c>
      <c r="AEB77" t="s">
        <v>633</v>
      </c>
      <c r="AEC77" t="s">
        <v>229</v>
      </c>
      <c r="AED77" t="s">
        <v>633</v>
      </c>
      <c r="AEE77" t="s">
        <v>229</v>
      </c>
      <c r="AEF77" t="s">
        <v>633</v>
      </c>
      <c r="AEG77" t="s">
        <v>229</v>
      </c>
      <c r="AEH77" t="s">
        <v>633</v>
      </c>
      <c r="AEI77" t="s">
        <v>229</v>
      </c>
      <c r="AEJ77" t="s">
        <v>633</v>
      </c>
      <c r="AEK77" t="s">
        <v>229</v>
      </c>
      <c r="AEL77" t="s">
        <v>633</v>
      </c>
      <c r="AEM77" t="s">
        <v>229</v>
      </c>
      <c r="AEN77" t="s">
        <v>633</v>
      </c>
      <c r="AEO77" t="s">
        <v>229</v>
      </c>
      <c r="AEP77" t="s">
        <v>633</v>
      </c>
      <c r="AEQ77" t="s">
        <v>229</v>
      </c>
      <c r="AER77" t="s">
        <v>633</v>
      </c>
      <c r="AES77" t="s">
        <v>229</v>
      </c>
      <c r="AET77" t="s">
        <v>633</v>
      </c>
      <c r="AEU77" t="s">
        <v>229</v>
      </c>
      <c r="AEV77" t="s">
        <v>633</v>
      </c>
      <c r="AEW77" t="s">
        <v>229</v>
      </c>
      <c r="AEX77" t="s">
        <v>633</v>
      </c>
      <c r="AEY77" t="s">
        <v>229</v>
      </c>
      <c r="AEZ77" t="s">
        <v>633</v>
      </c>
      <c r="AFA77" t="s">
        <v>229</v>
      </c>
      <c r="AFB77" t="s">
        <v>633</v>
      </c>
      <c r="AFC77" t="s">
        <v>229</v>
      </c>
      <c r="AFD77" t="s">
        <v>633</v>
      </c>
      <c r="AFE77" t="s">
        <v>229</v>
      </c>
      <c r="AFF77" t="s">
        <v>633</v>
      </c>
      <c r="AFG77" t="s">
        <v>229</v>
      </c>
      <c r="AFH77" t="s">
        <v>633</v>
      </c>
      <c r="AFI77" t="s">
        <v>229</v>
      </c>
      <c r="AFJ77" t="s">
        <v>633</v>
      </c>
      <c r="AFK77" t="s">
        <v>229</v>
      </c>
      <c r="AFL77" t="s">
        <v>633</v>
      </c>
      <c r="AFM77" t="s">
        <v>229</v>
      </c>
      <c r="AFN77" t="s">
        <v>633</v>
      </c>
      <c r="AFO77" t="s">
        <v>229</v>
      </c>
      <c r="AFP77" t="s">
        <v>633</v>
      </c>
      <c r="AFQ77" t="s">
        <v>229</v>
      </c>
      <c r="AFR77" t="s">
        <v>633</v>
      </c>
      <c r="AFS77" t="s">
        <v>229</v>
      </c>
      <c r="AFT77" t="s">
        <v>633</v>
      </c>
      <c r="AFU77" t="s">
        <v>229</v>
      </c>
      <c r="AFV77" t="s">
        <v>633</v>
      </c>
      <c r="AFW77" t="s">
        <v>229</v>
      </c>
      <c r="AFX77" t="s">
        <v>633</v>
      </c>
      <c r="AFY77" t="s">
        <v>229</v>
      </c>
      <c r="AFZ77" t="s">
        <v>633</v>
      </c>
      <c r="AGA77" t="s">
        <v>229</v>
      </c>
      <c r="AGB77" t="s">
        <v>633</v>
      </c>
      <c r="AGC77" t="s">
        <v>229</v>
      </c>
      <c r="AGD77" t="s">
        <v>633</v>
      </c>
      <c r="AGE77" t="s">
        <v>229</v>
      </c>
      <c r="AGF77" t="s">
        <v>633</v>
      </c>
      <c r="AGG77" t="s">
        <v>229</v>
      </c>
      <c r="AGH77" t="s">
        <v>633</v>
      </c>
      <c r="AGI77" t="s">
        <v>229</v>
      </c>
      <c r="AGJ77" t="s">
        <v>633</v>
      </c>
      <c r="AGK77" t="s">
        <v>229</v>
      </c>
      <c r="AGL77" t="s">
        <v>633</v>
      </c>
      <c r="AGM77" t="s">
        <v>229</v>
      </c>
      <c r="AGN77" t="s">
        <v>633</v>
      </c>
      <c r="AGO77" t="s">
        <v>229</v>
      </c>
      <c r="AGP77" t="s">
        <v>633</v>
      </c>
      <c r="AGQ77" t="s">
        <v>229</v>
      </c>
      <c r="AGR77" t="s">
        <v>633</v>
      </c>
      <c r="AGS77" t="s">
        <v>229</v>
      </c>
      <c r="AGT77" t="s">
        <v>633</v>
      </c>
      <c r="AGU77" t="s">
        <v>229</v>
      </c>
      <c r="AGV77" t="s">
        <v>633</v>
      </c>
      <c r="AGW77" t="s">
        <v>229</v>
      </c>
      <c r="AGX77" t="s">
        <v>633</v>
      </c>
      <c r="AGY77" t="s">
        <v>229</v>
      </c>
      <c r="AGZ77" t="s">
        <v>633</v>
      </c>
      <c r="AHA77" t="s">
        <v>229</v>
      </c>
      <c r="AHB77" t="s">
        <v>633</v>
      </c>
      <c r="AHC77" t="s">
        <v>229</v>
      </c>
      <c r="AHD77" t="s">
        <v>633</v>
      </c>
      <c r="AHE77" t="s">
        <v>229</v>
      </c>
      <c r="AHF77" t="s">
        <v>633</v>
      </c>
      <c r="AHG77" t="s">
        <v>229</v>
      </c>
      <c r="AHH77" t="s">
        <v>633</v>
      </c>
      <c r="AHI77" t="s">
        <v>229</v>
      </c>
      <c r="AHJ77" t="s">
        <v>633</v>
      </c>
      <c r="AHK77" t="s">
        <v>229</v>
      </c>
      <c r="AHL77" t="s">
        <v>633</v>
      </c>
      <c r="AHM77" t="s">
        <v>229</v>
      </c>
      <c r="AHN77" t="s">
        <v>633</v>
      </c>
      <c r="AHO77" t="s">
        <v>229</v>
      </c>
      <c r="AHP77" t="s">
        <v>633</v>
      </c>
      <c r="AHQ77" t="s">
        <v>229</v>
      </c>
      <c r="AHR77" t="s">
        <v>633</v>
      </c>
      <c r="AHS77" t="s">
        <v>229</v>
      </c>
      <c r="AHT77" t="s">
        <v>633</v>
      </c>
      <c r="AHU77" t="s">
        <v>229</v>
      </c>
      <c r="AHV77" t="s">
        <v>633</v>
      </c>
      <c r="AHW77" t="s">
        <v>229</v>
      </c>
      <c r="AHX77" t="s">
        <v>633</v>
      </c>
      <c r="AHY77" t="s">
        <v>229</v>
      </c>
      <c r="AHZ77" t="s">
        <v>633</v>
      </c>
      <c r="AIA77" t="s">
        <v>229</v>
      </c>
      <c r="AIB77" t="s">
        <v>633</v>
      </c>
      <c r="AIC77" t="s">
        <v>229</v>
      </c>
      <c r="AID77" t="s">
        <v>633</v>
      </c>
      <c r="AIE77" t="s">
        <v>229</v>
      </c>
      <c r="AIF77" t="s">
        <v>633</v>
      </c>
      <c r="AIG77" t="s">
        <v>229</v>
      </c>
      <c r="AIH77" t="s">
        <v>633</v>
      </c>
      <c r="AII77" t="s">
        <v>229</v>
      </c>
      <c r="AIJ77" t="s">
        <v>633</v>
      </c>
      <c r="AIK77" t="s">
        <v>229</v>
      </c>
      <c r="AIL77" t="s">
        <v>633</v>
      </c>
      <c r="AIM77" t="s">
        <v>229</v>
      </c>
      <c r="AIN77" t="s">
        <v>633</v>
      </c>
      <c r="AIO77" t="s">
        <v>229</v>
      </c>
      <c r="AIP77" t="s">
        <v>633</v>
      </c>
      <c r="AIQ77" t="s">
        <v>229</v>
      </c>
      <c r="AIR77" t="s">
        <v>633</v>
      </c>
      <c r="AIS77" t="s">
        <v>229</v>
      </c>
      <c r="AIT77" t="s">
        <v>633</v>
      </c>
      <c r="AIU77" t="s">
        <v>229</v>
      </c>
      <c r="AIV77" t="s">
        <v>633</v>
      </c>
      <c r="AIW77" t="s">
        <v>229</v>
      </c>
      <c r="AIX77" t="s">
        <v>633</v>
      </c>
      <c r="AIY77" t="s">
        <v>229</v>
      </c>
      <c r="AIZ77" t="s">
        <v>633</v>
      </c>
      <c r="AJA77" t="s">
        <v>229</v>
      </c>
      <c r="AJB77" t="s">
        <v>633</v>
      </c>
      <c r="AJC77" t="s">
        <v>229</v>
      </c>
      <c r="AJD77" t="s">
        <v>633</v>
      </c>
      <c r="AJE77" t="s">
        <v>229</v>
      </c>
      <c r="AJF77" t="s">
        <v>633</v>
      </c>
      <c r="AJG77" t="s">
        <v>229</v>
      </c>
      <c r="AJH77" t="s">
        <v>633</v>
      </c>
      <c r="AJI77" t="s">
        <v>229</v>
      </c>
      <c r="AJJ77" t="s">
        <v>633</v>
      </c>
      <c r="AJK77" t="s">
        <v>229</v>
      </c>
      <c r="AJL77" t="s">
        <v>633</v>
      </c>
      <c r="AJM77" t="s">
        <v>229</v>
      </c>
      <c r="AJN77" t="s">
        <v>633</v>
      </c>
      <c r="AJO77" t="s">
        <v>229</v>
      </c>
      <c r="AJP77" t="s">
        <v>633</v>
      </c>
      <c r="AJQ77" t="s">
        <v>229</v>
      </c>
      <c r="AJR77" t="s">
        <v>633</v>
      </c>
      <c r="AJS77" t="s">
        <v>229</v>
      </c>
      <c r="AJT77" t="s">
        <v>633</v>
      </c>
      <c r="AJU77" t="s">
        <v>229</v>
      </c>
      <c r="AJV77" t="s">
        <v>633</v>
      </c>
      <c r="AJW77" t="s">
        <v>229</v>
      </c>
      <c r="AJX77" t="s">
        <v>633</v>
      </c>
      <c r="AJY77" t="s">
        <v>229</v>
      </c>
      <c r="AJZ77" t="s">
        <v>633</v>
      </c>
      <c r="AKA77" t="s">
        <v>229</v>
      </c>
      <c r="AKB77" t="s">
        <v>633</v>
      </c>
      <c r="AKC77" t="s">
        <v>229</v>
      </c>
      <c r="AKD77" t="s">
        <v>633</v>
      </c>
      <c r="AKE77" t="s">
        <v>229</v>
      </c>
      <c r="AKF77" t="s">
        <v>633</v>
      </c>
      <c r="AKG77" t="s">
        <v>229</v>
      </c>
      <c r="AKH77" t="s">
        <v>633</v>
      </c>
      <c r="AKI77" t="s">
        <v>229</v>
      </c>
      <c r="AKJ77" t="s">
        <v>633</v>
      </c>
      <c r="AKK77" t="s">
        <v>229</v>
      </c>
      <c r="AKL77" t="s">
        <v>633</v>
      </c>
      <c r="AKM77" t="s">
        <v>229</v>
      </c>
      <c r="AKN77" t="s">
        <v>633</v>
      </c>
      <c r="AKO77" t="s">
        <v>229</v>
      </c>
      <c r="AKP77" t="s">
        <v>633</v>
      </c>
      <c r="AKQ77" t="s">
        <v>229</v>
      </c>
      <c r="AKR77" t="s">
        <v>633</v>
      </c>
      <c r="AKS77" t="s">
        <v>229</v>
      </c>
      <c r="AKT77" t="s">
        <v>633</v>
      </c>
      <c r="AKU77" t="s">
        <v>229</v>
      </c>
      <c r="AKV77" t="s">
        <v>633</v>
      </c>
      <c r="AKW77" t="s">
        <v>229</v>
      </c>
      <c r="AKX77" t="s">
        <v>633</v>
      </c>
      <c r="AKY77" t="s">
        <v>229</v>
      </c>
      <c r="AKZ77" t="s">
        <v>633</v>
      </c>
      <c r="ALA77" t="s">
        <v>229</v>
      </c>
      <c r="ALB77" t="s">
        <v>633</v>
      </c>
      <c r="ALC77" t="s">
        <v>229</v>
      </c>
      <c r="ALD77" t="s">
        <v>633</v>
      </c>
      <c r="ALE77" t="s">
        <v>229</v>
      </c>
      <c r="ALF77" t="s">
        <v>633</v>
      </c>
      <c r="ALG77" t="s">
        <v>229</v>
      </c>
      <c r="ALH77" t="s">
        <v>633</v>
      </c>
      <c r="ALI77" t="s">
        <v>229</v>
      </c>
      <c r="ALJ77" t="s">
        <v>633</v>
      </c>
      <c r="ALK77" t="s">
        <v>229</v>
      </c>
      <c r="ALL77" t="s">
        <v>633</v>
      </c>
      <c r="ALM77" t="s">
        <v>229</v>
      </c>
      <c r="ALN77" t="s">
        <v>633</v>
      </c>
      <c r="ALO77" t="s">
        <v>229</v>
      </c>
      <c r="ALP77" t="s">
        <v>633</v>
      </c>
      <c r="ALQ77" t="s">
        <v>229</v>
      </c>
      <c r="ALR77" t="s">
        <v>633</v>
      </c>
      <c r="ALS77" t="s">
        <v>229</v>
      </c>
      <c r="ALT77" t="s">
        <v>633</v>
      </c>
      <c r="ALU77" t="s">
        <v>229</v>
      </c>
      <c r="ALV77" t="s">
        <v>633</v>
      </c>
      <c r="ALW77" t="s">
        <v>229</v>
      </c>
      <c r="ALX77" t="s">
        <v>633</v>
      </c>
      <c r="ALY77" t="s">
        <v>229</v>
      </c>
      <c r="ALZ77" t="s">
        <v>633</v>
      </c>
      <c r="AMA77" t="s">
        <v>229</v>
      </c>
      <c r="AMB77" t="s">
        <v>633</v>
      </c>
      <c r="AMC77" t="s">
        <v>229</v>
      </c>
      <c r="AMD77" t="s">
        <v>633</v>
      </c>
      <c r="AME77" t="s">
        <v>229</v>
      </c>
      <c r="AMF77" t="s">
        <v>633</v>
      </c>
      <c r="AMG77" t="s">
        <v>229</v>
      </c>
      <c r="AMH77" t="s">
        <v>633</v>
      </c>
      <c r="AMI77" t="s">
        <v>229</v>
      </c>
      <c r="AMJ77" t="s">
        <v>633</v>
      </c>
      <c r="AMK77" t="s">
        <v>229</v>
      </c>
      <c r="AML77" t="s">
        <v>633</v>
      </c>
      <c r="AMM77" t="s">
        <v>229</v>
      </c>
      <c r="AMN77" t="s">
        <v>633</v>
      </c>
      <c r="AMO77" t="s">
        <v>229</v>
      </c>
      <c r="AMP77" t="s">
        <v>633</v>
      </c>
      <c r="AMQ77" t="s">
        <v>229</v>
      </c>
      <c r="AMR77" t="s">
        <v>633</v>
      </c>
      <c r="AMS77" t="s">
        <v>229</v>
      </c>
      <c r="AMT77" t="s">
        <v>633</v>
      </c>
      <c r="AMU77" t="s">
        <v>229</v>
      </c>
      <c r="AMV77" t="s">
        <v>633</v>
      </c>
      <c r="AMW77" t="s">
        <v>229</v>
      </c>
      <c r="AMX77" t="s">
        <v>633</v>
      </c>
      <c r="AMY77" t="s">
        <v>229</v>
      </c>
      <c r="AMZ77" t="s">
        <v>633</v>
      </c>
      <c r="ANA77" t="s">
        <v>229</v>
      </c>
      <c r="ANB77" t="s">
        <v>633</v>
      </c>
      <c r="ANC77" t="s">
        <v>229</v>
      </c>
      <c r="AND77" t="s">
        <v>633</v>
      </c>
      <c r="ANE77" t="s">
        <v>229</v>
      </c>
      <c r="ANF77" t="s">
        <v>633</v>
      </c>
      <c r="ANG77" t="s">
        <v>229</v>
      </c>
      <c r="ANH77" t="s">
        <v>633</v>
      </c>
      <c r="ANI77" t="s">
        <v>229</v>
      </c>
      <c r="ANJ77" t="s">
        <v>633</v>
      </c>
      <c r="ANK77" t="s">
        <v>229</v>
      </c>
      <c r="ANL77" t="s">
        <v>633</v>
      </c>
      <c r="ANM77" t="s">
        <v>229</v>
      </c>
      <c r="ANN77" t="s">
        <v>633</v>
      </c>
      <c r="ANO77" t="s">
        <v>229</v>
      </c>
      <c r="ANP77" t="s">
        <v>633</v>
      </c>
      <c r="ANQ77" t="s">
        <v>229</v>
      </c>
      <c r="ANR77" t="s">
        <v>633</v>
      </c>
      <c r="ANS77" t="s">
        <v>229</v>
      </c>
      <c r="ANT77" t="s">
        <v>633</v>
      </c>
      <c r="ANU77" t="s">
        <v>229</v>
      </c>
      <c r="ANV77" t="s">
        <v>633</v>
      </c>
      <c r="ANW77" t="s">
        <v>229</v>
      </c>
      <c r="ANX77" t="s">
        <v>633</v>
      </c>
      <c r="ANY77" t="s">
        <v>229</v>
      </c>
      <c r="ANZ77" t="s">
        <v>633</v>
      </c>
      <c r="AOA77" t="s">
        <v>229</v>
      </c>
      <c r="AOB77" t="s">
        <v>633</v>
      </c>
      <c r="AOC77" t="s">
        <v>229</v>
      </c>
      <c r="AOD77" t="s">
        <v>633</v>
      </c>
      <c r="AOE77" t="s">
        <v>229</v>
      </c>
      <c r="AOF77" t="s">
        <v>633</v>
      </c>
      <c r="AOG77" t="s">
        <v>229</v>
      </c>
      <c r="AOH77" t="s">
        <v>633</v>
      </c>
      <c r="AOI77" t="s">
        <v>229</v>
      </c>
      <c r="AOJ77" t="s">
        <v>633</v>
      </c>
      <c r="AOK77" t="s">
        <v>229</v>
      </c>
      <c r="AOL77" t="s">
        <v>633</v>
      </c>
      <c r="AOM77" t="s">
        <v>229</v>
      </c>
      <c r="AON77" t="s">
        <v>633</v>
      </c>
      <c r="AOO77" t="s">
        <v>229</v>
      </c>
      <c r="AOP77" t="s">
        <v>633</v>
      </c>
      <c r="AOQ77" t="s">
        <v>229</v>
      </c>
      <c r="AOR77" t="s">
        <v>633</v>
      </c>
      <c r="AOS77" t="s">
        <v>229</v>
      </c>
      <c r="AOT77" t="s">
        <v>633</v>
      </c>
      <c r="AOU77" t="s">
        <v>229</v>
      </c>
      <c r="AOV77" t="s">
        <v>633</v>
      </c>
      <c r="AOW77" t="s">
        <v>229</v>
      </c>
      <c r="AOX77" t="s">
        <v>633</v>
      </c>
      <c r="AOY77" t="s">
        <v>229</v>
      </c>
      <c r="AOZ77" t="s">
        <v>633</v>
      </c>
      <c r="APA77" t="s">
        <v>229</v>
      </c>
      <c r="APB77" t="s">
        <v>633</v>
      </c>
      <c r="APC77" t="s">
        <v>229</v>
      </c>
      <c r="APD77" t="s">
        <v>633</v>
      </c>
      <c r="APE77" t="s">
        <v>229</v>
      </c>
      <c r="APF77" t="s">
        <v>633</v>
      </c>
      <c r="APG77" t="s">
        <v>229</v>
      </c>
      <c r="APH77" t="s">
        <v>633</v>
      </c>
      <c r="API77" t="s">
        <v>229</v>
      </c>
      <c r="APJ77" t="s">
        <v>633</v>
      </c>
      <c r="APK77" t="s">
        <v>229</v>
      </c>
      <c r="APL77" t="s">
        <v>633</v>
      </c>
      <c r="APM77" t="s">
        <v>229</v>
      </c>
      <c r="APN77" t="s">
        <v>633</v>
      </c>
      <c r="APO77" t="s">
        <v>229</v>
      </c>
      <c r="APP77" t="s">
        <v>633</v>
      </c>
      <c r="APQ77" t="s">
        <v>229</v>
      </c>
      <c r="APR77" t="s">
        <v>633</v>
      </c>
      <c r="APS77" t="s">
        <v>229</v>
      </c>
      <c r="APT77" t="s">
        <v>633</v>
      </c>
      <c r="APU77" t="s">
        <v>229</v>
      </c>
      <c r="APV77" t="s">
        <v>633</v>
      </c>
      <c r="APW77" t="s">
        <v>229</v>
      </c>
      <c r="APX77" t="s">
        <v>633</v>
      </c>
      <c r="APY77" t="s">
        <v>229</v>
      </c>
      <c r="APZ77" t="s">
        <v>633</v>
      </c>
      <c r="AQA77" t="s">
        <v>229</v>
      </c>
      <c r="AQB77" t="s">
        <v>633</v>
      </c>
      <c r="AQC77" t="s">
        <v>229</v>
      </c>
      <c r="AQD77" t="s">
        <v>633</v>
      </c>
      <c r="AQE77" t="s">
        <v>229</v>
      </c>
      <c r="AQF77" t="s">
        <v>633</v>
      </c>
      <c r="AQG77" t="s">
        <v>229</v>
      </c>
      <c r="AQH77" t="s">
        <v>633</v>
      </c>
      <c r="AQI77" t="s">
        <v>229</v>
      </c>
      <c r="AQJ77" t="s">
        <v>633</v>
      </c>
      <c r="AQK77" t="s">
        <v>229</v>
      </c>
      <c r="AQL77" t="s">
        <v>633</v>
      </c>
      <c r="AQM77" t="s">
        <v>229</v>
      </c>
      <c r="AQN77" t="s">
        <v>633</v>
      </c>
      <c r="AQO77" t="s">
        <v>229</v>
      </c>
      <c r="AQP77" t="s">
        <v>633</v>
      </c>
      <c r="AQQ77" t="s">
        <v>229</v>
      </c>
      <c r="AQR77" t="s">
        <v>633</v>
      </c>
      <c r="AQS77" t="s">
        <v>229</v>
      </c>
      <c r="AQT77" t="s">
        <v>633</v>
      </c>
      <c r="AQU77" t="s">
        <v>229</v>
      </c>
      <c r="AQV77" t="s">
        <v>633</v>
      </c>
      <c r="AQW77" t="s">
        <v>229</v>
      </c>
      <c r="AQX77" t="s">
        <v>633</v>
      </c>
      <c r="AQY77" t="s">
        <v>229</v>
      </c>
      <c r="AQZ77" t="s">
        <v>633</v>
      </c>
      <c r="ARA77" t="s">
        <v>229</v>
      </c>
      <c r="ARB77" t="s">
        <v>633</v>
      </c>
      <c r="ARC77" t="s">
        <v>229</v>
      </c>
      <c r="ARD77" t="s">
        <v>633</v>
      </c>
      <c r="ARE77" t="s">
        <v>229</v>
      </c>
      <c r="ARF77" t="s">
        <v>633</v>
      </c>
      <c r="ARG77" t="s">
        <v>229</v>
      </c>
      <c r="ARH77" t="s">
        <v>633</v>
      </c>
      <c r="ARI77" t="s">
        <v>229</v>
      </c>
      <c r="ARJ77" t="s">
        <v>633</v>
      </c>
      <c r="ARK77" t="s">
        <v>229</v>
      </c>
      <c r="ARL77" t="s">
        <v>633</v>
      </c>
      <c r="ARM77" t="s">
        <v>229</v>
      </c>
      <c r="ARN77" t="s">
        <v>633</v>
      </c>
      <c r="ARO77" t="s">
        <v>229</v>
      </c>
      <c r="ARP77" t="s">
        <v>633</v>
      </c>
      <c r="ARQ77" t="s">
        <v>229</v>
      </c>
      <c r="ARR77" t="s">
        <v>633</v>
      </c>
      <c r="ARS77" t="s">
        <v>229</v>
      </c>
      <c r="ART77" t="s">
        <v>633</v>
      </c>
      <c r="ARU77" t="s">
        <v>229</v>
      </c>
      <c r="ARV77" t="s">
        <v>633</v>
      </c>
      <c r="ARW77" t="s">
        <v>229</v>
      </c>
      <c r="ARX77" t="s">
        <v>633</v>
      </c>
      <c r="ARY77" t="s">
        <v>229</v>
      </c>
      <c r="ARZ77" t="s">
        <v>633</v>
      </c>
      <c r="ASA77" t="s">
        <v>229</v>
      </c>
      <c r="ASB77" t="s">
        <v>633</v>
      </c>
      <c r="ASC77" t="s">
        <v>229</v>
      </c>
      <c r="ASD77" t="s">
        <v>633</v>
      </c>
      <c r="ASE77" t="s">
        <v>229</v>
      </c>
      <c r="ASF77" t="s">
        <v>633</v>
      </c>
      <c r="ASG77" t="s">
        <v>229</v>
      </c>
      <c r="ASH77" t="s">
        <v>633</v>
      </c>
      <c r="ASI77" t="s">
        <v>229</v>
      </c>
      <c r="ASJ77" t="s">
        <v>633</v>
      </c>
      <c r="ASK77" t="s">
        <v>229</v>
      </c>
      <c r="ASL77" t="s">
        <v>633</v>
      </c>
      <c r="ASM77" t="s">
        <v>229</v>
      </c>
      <c r="ASN77" t="s">
        <v>633</v>
      </c>
      <c r="ASO77" t="s">
        <v>229</v>
      </c>
      <c r="ASP77" t="s">
        <v>633</v>
      </c>
      <c r="ASQ77" t="s">
        <v>229</v>
      </c>
      <c r="ASR77" t="s">
        <v>633</v>
      </c>
      <c r="ASS77" t="s">
        <v>229</v>
      </c>
      <c r="AST77" t="s">
        <v>633</v>
      </c>
      <c r="ASU77" t="s">
        <v>229</v>
      </c>
      <c r="ASV77" t="s">
        <v>633</v>
      </c>
      <c r="ASW77" t="s">
        <v>229</v>
      </c>
      <c r="ASX77" t="s">
        <v>633</v>
      </c>
      <c r="ASY77" t="s">
        <v>229</v>
      </c>
      <c r="ASZ77" t="s">
        <v>633</v>
      </c>
      <c r="ATA77" t="s">
        <v>229</v>
      </c>
      <c r="ATB77" t="s">
        <v>633</v>
      </c>
      <c r="ATC77" t="s">
        <v>229</v>
      </c>
      <c r="ATD77" t="s">
        <v>633</v>
      </c>
      <c r="ATE77" t="s">
        <v>229</v>
      </c>
      <c r="ATF77" t="s">
        <v>633</v>
      </c>
      <c r="ATG77" t="s">
        <v>229</v>
      </c>
      <c r="ATH77" t="s">
        <v>633</v>
      </c>
      <c r="ATI77" t="s">
        <v>229</v>
      </c>
      <c r="ATJ77" t="s">
        <v>633</v>
      </c>
      <c r="ATK77" t="s">
        <v>229</v>
      </c>
      <c r="ATL77" t="s">
        <v>633</v>
      </c>
      <c r="ATM77" t="s">
        <v>229</v>
      </c>
      <c r="ATN77" t="s">
        <v>633</v>
      </c>
      <c r="ATO77" t="s">
        <v>229</v>
      </c>
      <c r="ATP77" t="s">
        <v>633</v>
      </c>
      <c r="ATQ77" t="s">
        <v>229</v>
      </c>
      <c r="ATR77" t="s">
        <v>633</v>
      </c>
      <c r="ATS77" t="s">
        <v>229</v>
      </c>
      <c r="ATT77" t="s">
        <v>633</v>
      </c>
      <c r="ATU77" t="s">
        <v>229</v>
      </c>
      <c r="ATV77" t="s">
        <v>633</v>
      </c>
      <c r="ATW77" t="s">
        <v>229</v>
      </c>
      <c r="ATX77" t="s">
        <v>633</v>
      </c>
      <c r="ATY77" t="s">
        <v>229</v>
      </c>
      <c r="ATZ77" t="s">
        <v>633</v>
      </c>
      <c r="AUA77" t="s">
        <v>229</v>
      </c>
      <c r="AUB77" t="s">
        <v>633</v>
      </c>
      <c r="AUC77" t="s">
        <v>229</v>
      </c>
      <c r="AUD77" t="s">
        <v>633</v>
      </c>
      <c r="AUE77" t="s">
        <v>229</v>
      </c>
      <c r="AUF77" t="s">
        <v>633</v>
      </c>
      <c r="AUG77" t="s">
        <v>229</v>
      </c>
      <c r="AUH77" t="s">
        <v>633</v>
      </c>
      <c r="AUI77" t="s">
        <v>229</v>
      </c>
      <c r="AUJ77" t="s">
        <v>633</v>
      </c>
      <c r="AUK77" t="s">
        <v>229</v>
      </c>
      <c r="AUL77" t="s">
        <v>633</v>
      </c>
      <c r="AUM77" t="s">
        <v>229</v>
      </c>
      <c r="AUN77" t="s">
        <v>633</v>
      </c>
      <c r="AUO77" t="s">
        <v>229</v>
      </c>
      <c r="AUP77" t="s">
        <v>633</v>
      </c>
      <c r="AUQ77" t="s">
        <v>229</v>
      </c>
      <c r="AUR77" t="s">
        <v>633</v>
      </c>
      <c r="AUS77" t="s">
        <v>229</v>
      </c>
      <c r="AUT77" t="s">
        <v>633</v>
      </c>
      <c r="AUU77" t="s">
        <v>229</v>
      </c>
      <c r="AUV77" t="s">
        <v>633</v>
      </c>
      <c r="AUW77" t="s">
        <v>229</v>
      </c>
      <c r="AUX77" t="s">
        <v>633</v>
      </c>
      <c r="AUY77" t="s">
        <v>229</v>
      </c>
      <c r="AUZ77" t="s">
        <v>633</v>
      </c>
      <c r="AVA77" t="s">
        <v>229</v>
      </c>
      <c r="AVB77" t="s">
        <v>633</v>
      </c>
      <c r="AVC77" t="s">
        <v>229</v>
      </c>
      <c r="AVD77" t="s">
        <v>633</v>
      </c>
      <c r="AVE77" t="s">
        <v>229</v>
      </c>
      <c r="AVF77" t="s">
        <v>633</v>
      </c>
      <c r="AVG77" t="s">
        <v>229</v>
      </c>
      <c r="AVH77" t="s">
        <v>633</v>
      </c>
      <c r="AVI77" t="s">
        <v>229</v>
      </c>
      <c r="AVJ77" t="s">
        <v>633</v>
      </c>
      <c r="AVK77" t="s">
        <v>229</v>
      </c>
      <c r="AVL77" t="s">
        <v>633</v>
      </c>
      <c r="AVM77" t="s">
        <v>229</v>
      </c>
      <c r="AVN77" t="s">
        <v>633</v>
      </c>
      <c r="AVO77" t="s">
        <v>229</v>
      </c>
      <c r="AVP77" t="s">
        <v>633</v>
      </c>
      <c r="AVQ77" t="s">
        <v>229</v>
      </c>
      <c r="AVR77" t="s">
        <v>633</v>
      </c>
      <c r="AVS77" t="s">
        <v>229</v>
      </c>
      <c r="AVT77" t="s">
        <v>633</v>
      </c>
      <c r="AVU77" t="s">
        <v>229</v>
      </c>
      <c r="AVV77" t="s">
        <v>633</v>
      </c>
      <c r="AVW77" t="s">
        <v>229</v>
      </c>
      <c r="AVX77" t="s">
        <v>633</v>
      </c>
      <c r="AVY77" t="s">
        <v>229</v>
      </c>
      <c r="AVZ77" t="s">
        <v>633</v>
      </c>
      <c r="AWA77" t="s">
        <v>229</v>
      </c>
      <c r="AWB77" t="s">
        <v>633</v>
      </c>
      <c r="AWC77" t="s">
        <v>229</v>
      </c>
      <c r="AWD77" t="s">
        <v>633</v>
      </c>
      <c r="AWE77" t="s">
        <v>229</v>
      </c>
      <c r="AWF77" t="s">
        <v>633</v>
      </c>
      <c r="AWG77" t="s">
        <v>229</v>
      </c>
      <c r="AWH77" t="s">
        <v>633</v>
      </c>
      <c r="AWI77" t="s">
        <v>229</v>
      </c>
      <c r="AWJ77" t="s">
        <v>633</v>
      </c>
      <c r="AWK77" t="s">
        <v>229</v>
      </c>
      <c r="AWL77" t="s">
        <v>633</v>
      </c>
      <c r="AWM77" t="s">
        <v>229</v>
      </c>
      <c r="AWN77" t="s">
        <v>633</v>
      </c>
      <c r="AWO77" t="s">
        <v>229</v>
      </c>
      <c r="AWP77" t="s">
        <v>633</v>
      </c>
      <c r="AWQ77" t="s">
        <v>229</v>
      </c>
      <c r="AWR77" t="s">
        <v>633</v>
      </c>
      <c r="AWS77" t="s">
        <v>229</v>
      </c>
      <c r="AWT77" t="s">
        <v>633</v>
      </c>
      <c r="AWU77" t="s">
        <v>229</v>
      </c>
      <c r="AWV77" t="s">
        <v>633</v>
      </c>
      <c r="AWW77" t="s">
        <v>229</v>
      </c>
      <c r="AWX77" t="s">
        <v>633</v>
      </c>
      <c r="AWY77" t="s">
        <v>229</v>
      </c>
      <c r="AWZ77" t="s">
        <v>633</v>
      </c>
      <c r="AXA77" t="s">
        <v>229</v>
      </c>
      <c r="AXB77" t="s">
        <v>633</v>
      </c>
      <c r="AXC77" t="s">
        <v>229</v>
      </c>
      <c r="AXD77" t="s">
        <v>633</v>
      </c>
      <c r="AXE77" t="s">
        <v>229</v>
      </c>
      <c r="AXF77" t="s">
        <v>633</v>
      </c>
      <c r="AXG77" t="s">
        <v>229</v>
      </c>
      <c r="AXH77" t="s">
        <v>633</v>
      </c>
      <c r="AXI77" t="s">
        <v>229</v>
      </c>
      <c r="AXJ77" t="s">
        <v>633</v>
      </c>
      <c r="AXK77" t="s">
        <v>229</v>
      </c>
      <c r="AXL77" t="s">
        <v>633</v>
      </c>
      <c r="AXM77" t="s">
        <v>229</v>
      </c>
      <c r="AXN77" t="s">
        <v>633</v>
      </c>
      <c r="AXO77" t="s">
        <v>229</v>
      </c>
      <c r="AXP77" t="s">
        <v>633</v>
      </c>
      <c r="AXQ77" t="s">
        <v>229</v>
      </c>
      <c r="AXR77" t="s">
        <v>633</v>
      </c>
      <c r="AXS77" t="s">
        <v>229</v>
      </c>
      <c r="AXT77" t="s">
        <v>633</v>
      </c>
      <c r="AXU77" t="s">
        <v>229</v>
      </c>
      <c r="AXV77" t="s">
        <v>633</v>
      </c>
      <c r="AXW77" t="s">
        <v>229</v>
      </c>
      <c r="AXX77" t="s">
        <v>633</v>
      </c>
      <c r="AXY77" t="s">
        <v>229</v>
      </c>
      <c r="AXZ77" t="s">
        <v>633</v>
      </c>
      <c r="AYA77" t="s">
        <v>229</v>
      </c>
      <c r="AYB77" t="s">
        <v>633</v>
      </c>
      <c r="AYC77" t="s">
        <v>229</v>
      </c>
      <c r="AYD77" t="s">
        <v>633</v>
      </c>
      <c r="AYE77" t="s">
        <v>229</v>
      </c>
      <c r="AYF77" t="s">
        <v>633</v>
      </c>
      <c r="AYG77" t="s">
        <v>229</v>
      </c>
      <c r="AYH77" t="s">
        <v>633</v>
      </c>
      <c r="AYI77" t="s">
        <v>229</v>
      </c>
      <c r="AYJ77" t="s">
        <v>633</v>
      </c>
      <c r="AYK77" t="s">
        <v>229</v>
      </c>
      <c r="AYL77" t="s">
        <v>633</v>
      </c>
      <c r="AYM77" t="s">
        <v>229</v>
      </c>
      <c r="AYN77" t="s">
        <v>633</v>
      </c>
      <c r="AYO77" t="s">
        <v>229</v>
      </c>
      <c r="AYP77" t="s">
        <v>633</v>
      </c>
      <c r="AYQ77" t="s">
        <v>229</v>
      </c>
      <c r="AYR77" t="s">
        <v>633</v>
      </c>
      <c r="AYS77" t="s">
        <v>229</v>
      </c>
      <c r="AYT77" t="s">
        <v>633</v>
      </c>
      <c r="AYU77" t="s">
        <v>229</v>
      </c>
      <c r="AYV77" t="s">
        <v>633</v>
      </c>
      <c r="AYW77" t="s">
        <v>229</v>
      </c>
      <c r="AYX77" t="s">
        <v>633</v>
      </c>
      <c r="AYY77" t="s">
        <v>229</v>
      </c>
      <c r="AYZ77" t="s">
        <v>633</v>
      </c>
      <c r="AZA77" t="s">
        <v>229</v>
      </c>
      <c r="AZB77" t="s">
        <v>633</v>
      </c>
      <c r="AZC77" t="s">
        <v>229</v>
      </c>
      <c r="AZD77" t="s">
        <v>633</v>
      </c>
      <c r="AZE77" t="s">
        <v>229</v>
      </c>
      <c r="AZF77" t="s">
        <v>633</v>
      </c>
      <c r="AZG77" t="s">
        <v>229</v>
      </c>
      <c r="AZH77" t="s">
        <v>633</v>
      </c>
      <c r="AZI77" t="s">
        <v>229</v>
      </c>
      <c r="AZJ77" t="s">
        <v>633</v>
      </c>
      <c r="AZK77" t="s">
        <v>229</v>
      </c>
      <c r="AZL77" t="s">
        <v>633</v>
      </c>
      <c r="AZM77" t="s">
        <v>229</v>
      </c>
      <c r="AZN77" t="s">
        <v>633</v>
      </c>
      <c r="AZO77" t="s">
        <v>229</v>
      </c>
      <c r="AZP77" t="s">
        <v>633</v>
      </c>
      <c r="AZQ77" t="s">
        <v>229</v>
      </c>
      <c r="AZR77" t="s">
        <v>633</v>
      </c>
      <c r="AZS77" t="s">
        <v>229</v>
      </c>
      <c r="AZT77" t="s">
        <v>633</v>
      </c>
      <c r="AZU77" t="s">
        <v>229</v>
      </c>
      <c r="AZV77" t="s">
        <v>633</v>
      </c>
      <c r="AZW77" t="s">
        <v>229</v>
      </c>
      <c r="AZX77" t="s">
        <v>633</v>
      </c>
      <c r="AZY77" t="s">
        <v>229</v>
      </c>
      <c r="AZZ77" t="s">
        <v>633</v>
      </c>
      <c r="BAA77" t="s">
        <v>229</v>
      </c>
      <c r="BAB77" t="s">
        <v>633</v>
      </c>
      <c r="BAC77" t="s">
        <v>229</v>
      </c>
      <c r="BAD77" t="s">
        <v>633</v>
      </c>
      <c r="BAE77" t="s">
        <v>229</v>
      </c>
      <c r="BAF77" t="s">
        <v>633</v>
      </c>
      <c r="BAG77" t="s">
        <v>229</v>
      </c>
      <c r="BAH77" t="s">
        <v>633</v>
      </c>
      <c r="BAI77" t="s">
        <v>229</v>
      </c>
      <c r="BAJ77" t="s">
        <v>633</v>
      </c>
      <c r="BAK77" t="s">
        <v>229</v>
      </c>
      <c r="BAL77" t="s">
        <v>633</v>
      </c>
      <c r="BAM77" t="s">
        <v>229</v>
      </c>
      <c r="BAN77" t="s">
        <v>633</v>
      </c>
      <c r="BAO77" t="s">
        <v>229</v>
      </c>
      <c r="BAP77" t="s">
        <v>633</v>
      </c>
      <c r="BAQ77" t="s">
        <v>229</v>
      </c>
      <c r="BAR77" t="s">
        <v>633</v>
      </c>
      <c r="BAS77" t="s">
        <v>229</v>
      </c>
      <c r="BAT77" t="s">
        <v>633</v>
      </c>
      <c r="BAU77" t="s">
        <v>229</v>
      </c>
      <c r="BAV77" t="s">
        <v>633</v>
      </c>
      <c r="BAW77" t="s">
        <v>229</v>
      </c>
      <c r="BAX77" t="s">
        <v>633</v>
      </c>
      <c r="BAY77" t="s">
        <v>229</v>
      </c>
      <c r="BAZ77" t="s">
        <v>633</v>
      </c>
      <c r="BBA77" t="s">
        <v>229</v>
      </c>
      <c r="BBB77" t="s">
        <v>633</v>
      </c>
      <c r="BBC77" t="s">
        <v>229</v>
      </c>
      <c r="BBD77" t="s">
        <v>633</v>
      </c>
      <c r="BBE77" t="s">
        <v>229</v>
      </c>
      <c r="BBF77" t="s">
        <v>633</v>
      </c>
      <c r="BBG77" t="s">
        <v>229</v>
      </c>
      <c r="BBH77" t="s">
        <v>633</v>
      </c>
      <c r="BBI77" t="s">
        <v>229</v>
      </c>
      <c r="BBJ77" t="s">
        <v>633</v>
      </c>
      <c r="BBK77" t="s">
        <v>229</v>
      </c>
      <c r="BBL77" t="s">
        <v>633</v>
      </c>
      <c r="BBM77" t="s">
        <v>229</v>
      </c>
      <c r="BBN77" t="s">
        <v>633</v>
      </c>
      <c r="BBO77" t="s">
        <v>229</v>
      </c>
      <c r="BBP77" t="s">
        <v>633</v>
      </c>
      <c r="BBQ77" t="s">
        <v>229</v>
      </c>
      <c r="BBR77" t="s">
        <v>633</v>
      </c>
      <c r="BBS77" t="s">
        <v>229</v>
      </c>
      <c r="BBT77" t="s">
        <v>633</v>
      </c>
      <c r="BBU77" t="s">
        <v>229</v>
      </c>
      <c r="BBV77" t="s">
        <v>633</v>
      </c>
      <c r="BBW77" t="s">
        <v>229</v>
      </c>
      <c r="BBX77" t="s">
        <v>633</v>
      </c>
      <c r="BBY77" t="s">
        <v>229</v>
      </c>
      <c r="BBZ77" t="s">
        <v>633</v>
      </c>
      <c r="BCA77" t="s">
        <v>229</v>
      </c>
      <c r="BCB77" t="s">
        <v>633</v>
      </c>
      <c r="BCC77" t="s">
        <v>229</v>
      </c>
      <c r="BCD77" t="s">
        <v>633</v>
      </c>
      <c r="BCE77" t="s">
        <v>229</v>
      </c>
      <c r="BCF77" t="s">
        <v>633</v>
      </c>
      <c r="BCG77" t="s">
        <v>229</v>
      </c>
      <c r="BCH77" t="s">
        <v>633</v>
      </c>
      <c r="BCI77" t="s">
        <v>229</v>
      </c>
      <c r="BCJ77" t="s">
        <v>633</v>
      </c>
      <c r="BCK77" t="s">
        <v>229</v>
      </c>
      <c r="BCL77" t="s">
        <v>633</v>
      </c>
      <c r="BCM77" t="s">
        <v>229</v>
      </c>
      <c r="BCN77" t="s">
        <v>633</v>
      </c>
      <c r="BCO77" t="s">
        <v>229</v>
      </c>
      <c r="BCP77" t="s">
        <v>633</v>
      </c>
      <c r="BCQ77" t="s">
        <v>229</v>
      </c>
      <c r="BCR77" t="s">
        <v>633</v>
      </c>
      <c r="BCS77" t="s">
        <v>229</v>
      </c>
      <c r="BCT77" t="s">
        <v>633</v>
      </c>
      <c r="BCU77" t="s">
        <v>229</v>
      </c>
      <c r="BCV77" t="s">
        <v>633</v>
      </c>
      <c r="BCW77" t="s">
        <v>229</v>
      </c>
      <c r="BCX77" t="s">
        <v>633</v>
      </c>
      <c r="BCY77" t="s">
        <v>229</v>
      </c>
      <c r="BCZ77" t="s">
        <v>633</v>
      </c>
      <c r="BDA77" t="s">
        <v>229</v>
      </c>
      <c r="BDB77" t="s">
        <v>633</v>
      </c>
      <c r="BDC77" t="s">
        <v>229</v>
      </c>
      <c r="BDD77" t="s">
        <v>633</v>
      </c>
      <c r="BDE77" t="s">
        <v>229</v>
      </c>
      <c r="BDF77" t="s">
        <v>633</v>
      </c>
      <c r="BDG77" t="s">
        <v>229</v>
      </c>
      <c r="BDH77" t="s">
        <v>633</v>
      </c>
      <c r="BDI77" t="s">
        <v>229</v>
      </c>
      <c r="BDJ77" t="s">
        <v>633</v>
      </c>
      <c r="BDK77" t="s">
        <v>229</v>
      </c>
      <c r="BDL77" t="s">
        <v>633</v>
      </c>
      <c r="BDM77" t="s">
        <v>229</v>
      </c>
      <c r="BDN77" t="s">
        <v>633</v>
      </c>
      <c r="BDO77" t="s">
        <v>229</v>
      </c>
      <c r="BDP77" t="s">
        <v>633</v>
      </c>
      <c r="BDQ77" t="s">
        <v>229</v>
      </c>
      <c r="BDR77" t="s">
        <v>633</v>
      </c>
      <c r="BDS77" t="s">
        <v>229</v>
      </c>
      <c r="BDT77" t="s">
        <v>633</v>
      </c>
      <c r="BDU77" t="s">
        <v>229</v>
      </c>
      <c r="BDV77" t="s">
        <v>633</v>
      </c>
      <c r="BDW77" t="s">
        <v>229</v>
      </c>
      <c r="BDX77" t="s">
        <v>633</v>
      </c>
      <c r="BDY77" t="s">
        <v>229</v>
      </c>
      <c r="BDZ77" t="s">
        <v>633</v>
      </c>
      <c r="BEA77" t="s">
        <v>229</v>
      </c>
      <c r="BEB77" t="s">
        <v>633</v>
      </c>
      <c r="BEC77" t="s">
        <v>229</v>
      </c>
      <c r="BED77" t="s">
        <v>633</v>
      </c>
      <c r="BEE77" t="s">
        <v>229</v>
      </c>
      <c r="BEF77" t="s">
        <v>633</v>
      </c>
      <c r="BEG77" t="s">
        <v>229</v>
      </c>
      <c r="BEH77" t="s">
        <v>633</v>
      </c>
      <c r="BEI77" t="s">
        <v>229</v>
      </c>
      <c r="BEJ77" t="s">
        <v>633</v>
      </c>
      <c r="BEK77" t="s">
        <v>229</v>
      </c>
      <c r="BEL77" t="s">
        <v>633</v>
      </c>
      <c r="BEM77" t="s">
        <v>229</v>
      </c>
      <c r="BEN77" t="s">
        <v>633</v>
      </c>
      <c r="BEO77" t="s">
        <v>229</v>
      </c>
      <c r="BEP77" t="s">
        <v>633</v>
      </c>
      <c r="BEQ77" t="s">
        <v>229</v>
      </c>
      <c r="BER77" t="s">
        <v>633</v>
      </c>
      <c r="BES77" t="s">
        <v>229</v>
      </c>
      <c r="BET77" t="s">
        <v>633</v>
      </c>
      <c r="BEU77" t="s">
        <v>229</v>
      </c>
      <c r="BEV77" t="s">
        <v>633</v>
      </c>
      <c r="BEW77" t="s">
        <v>229</v>
      </c>
      <c r="BEX77" t="s">
        <v>633</v>
      </c>
      <c r="BEY77" t="s">
        <v>229</v>
      </c>
      <c r="BEZ77" t="s">
        <v>633</v>
      </c>
      <c r="BFA77" t="s">
        <v>229</v>
      </c>
      <c r="BFB77" t="s">
        <v>633</v>
      </c>
      <c r="BFC77" t="s">
        <v>229</v>
      </c>
      <c r="BFD77" t="s">
        <v>633</v>
      </c>
      <c r="BFE77" t="s">
        <v>229</v>
      </c>
      <c r="BFF77" t="s">
        <v>633</v>
      </c>
      <c r="BFG77" t="s">
        <v>229</v>
      </c>
      <c r="BFH77" t="s">
        <v>633</v>
      </c>
      <c r="BFI77" t="s">
        <v>229</v>
      </c>
      <c r="BFJ77" t="s">
        <v>633</v>
      </c>
      <c r="BFK77" t="s">
        <v>229</v>
      </c>
      <c r="BFL77" t="s">
        <v>633</v>
      </c>
      <c r="BFM77" t="s">
        <v>229</v>
      </c>
      <c r="BFN77" t="s">
        <v>633</v>
      </c>
      <c r="BFO77" t="s">
        <v>229</v>
      </c>
      <c r="BFP77" t="s">
        <v>633</v>
      </c>
      <c r="BFQ77" t="s">
        <v>229</v>
      </c>
      <c r="BFR77" t="s">
        <v>633</v>
      </c>
      <c r="BFS77" t="s">
        <v>229</v>
      </c>
      <c r="BFT77" t="s">
        <v>633</v>
      </c>
      <c r="BFU77" t="s">
        <v>229</v>
      </c>
      <c r="BFV77" t="s">
        <v>633</v>
      </c>
      <c r="BFW77" t="s">
        <v>229</v>
      </c>
      <c r="BFX77" t="s">
        <v>633</v>
      </c>
      <c r="BFY77" t="s">
        <v>229</v>
      </c>
      <c r="BFZ77" t="s">
        <v>633</v>
      </c>
      <c r="BGA77" t="s">
        <v>229</v>
      </c>
      <c r="BGB77" t="s">
        <v>633</v>
      </c>
      <c r="BGC77" t="s">
        <v>229</v>
      </c>
      <c r="BGD77" t="s">
        <v>633</v>
      </c>
      <c r="BGE77" t="s">
        <v>229</v>
      </c>
      <c r="BGF77" t="s">
        <v>633</v>
      </c>
      <c r="BGG77" t="s">
        <v>229</v>
      </c>
      <c r="BGH77" t="s">
        <v>633</v>
      </c>
      <c r="BGI77" t="s">
        <v>229</v>
      </c>
      <c r="BGJ77" t="s">
        <v>633</v>
      </c>
      <c r="BGK77" t="s">
        <v>229</v>
      </c>
      <c r="BGL77" t="s">
        <v>633</v>
      </c>
      <c r="BGM77" t="s">
        <v>229</v>
      </c>
      <c r="BGN77" t="s">
        <v>633</v>
      </c>
      <c r="BGO77" t="s">
        <v>229</v>
      </c>
      <c r="BGP77" t="s">
        <v>633</v>
      </c>
      <c r="BGQ77" t="s">
        <v>229</v>
      </c>
      <c r="BGR77" t="s">
        <v>633</v>
      </c>
      <c r="BGS77" t="s">
        <v>229</v>
      </c>
      <c r="BGT77" t="s">
        <v>633</v>
      </c>
      <c r="BGU77" t="s">
        <v>229</v>
      </c>
      <c r="BGV77" t="s">
        <v>633</v>
      </c>
      <c r="BGW77" t="s">
        <v>229</v>
      </c>
      <c r="BGX77" t="s">
        <v>633</v>
      </c>
      <c r="BGY77" t="s">
        <v>229</v>
      </c>
      <c r="BGZ77" t="s">
        <v>633</v>
      </c>
      <c r="BHA77" t="s">
        <v>229</v>
      </c>
      <c r="BHB77" t="s">
        <v>633</v>
      </c>
      <c r="BHC77" t="s">
        <v>229</v>
      </c>
      <c r="BHD77" t="s">
        <v>633</v>
      </c>
      <c r="BHE77" t="s">
        <v>229</v>
      </c>
      <c r="BHF77" t="s">
        <v>633</v>
      </c>
      <c r="BHG77" t="s">
        <v>229</v>
      </c>
      <c r="BHH77" t="s">
        <v>633</v>
      </c>
      <c r="BHI77" t="s">
        <v>229</v>
      </c>
      <c r="BHJ77" t="s">
        <v>633</v>
      </c>
      <c r="BHK77" t="s">
        <v>229</v>
      </c>
      <c r="BHL77" t="s">
        <v>633</v>
      </c>
      <c r="BHM77" t="s">
        <v>229</v>
      </c>
      <c r="BHN77" t="s">
        <v>633</v>
      </c>
      <c r="BHO77" t="s">
        <v>229</v>
      </c>
      <c r="BHP77" t="s">
        <v>633</v>
      </c>
      <c r="BHQ77" t="s">
        <v>229</v>
      </c>
      <c r="BHR77" t="s">
        <v>633</v>
      </c>
      <c r="BHS77" t="s">
        <v>229</v>
      </c>
      <c r="BHT77" t="s">
        <v>633</v>
      </c>
      <c r="BHU77" t="s">
        <v>229</v>
      </c>
      <c r="BHV77" t="s">
        <v>633</v>
      </c>
      <c r="BHW77" t="s">
        <v>229</v>
      </c>
      <c r="BHX77" t="s">
        <v>633</v>
      </c>
      <c r="BHY77" t="s">
        <v>229</v>
      </c>
      <c r="BHZ77" t="s">
        <v>633</v>
      </c>
      <c r="BIA77" t="s">
        <v>229</v>
      </c>
      <c r="BIB77" t="s">
        <v>633</v>
      </c>
      <c r="BIC77" t="s">
        <v>229</v>
      </c>
      <c r="BID77" t="s">
        <v>633</v>
      </c>
      <c r="BIE77" t="s">
        <v>229</v>
      </c>
      <c r="BIF77" t="s">
        <v>633</v>
      </c>
      <c r="BIG77" t="s">
        <v>229</v>
      </c>
      <c r="BIH77" t="s">
        <v>633</v>
      </c>
      <c r="BII77" t="s">
        <v>229</v>
      </c>
      <c r="BIJ77" t="s">
        <v>633</v>
      </c>
      <c r="BIK77" t="s">
        <v>229</v>
      </c>
      <c r="BIL77" t="s">
        <v>633</v>
      </c>
      <c r="BIM77" t="s">
        <v>229</v>
      </c>
      <c r="BIN77" t="s">
        <v>633</v>
      </c>
      <c r="BIO77" t="s">
        <v>229</v>
      </c>
      <c r="BIP77" t="s">
        <v>633</v>
      </c>
      <c r="BIQ77" t="s">
        <v>229</v>
      </c>
      <c r="BIR77" t="s">
        <v>633</v>
      </c>
      <c r="BIS77" t="s">
        <v>229</v>
      </c>
      <c r="BIT77" t="s">
        <v>633</v>
      </c>
      <c r="BIU77" t="s">
        <v>229</v>
      </c>
      <c r="BIV77" t="s">
        <v>633</v>
      </c>
      <c r="BIW77" t="s">
        <v>229</v>
      </c>
      <c r="BIX77" t="s">
        <v>633</v>
      </c>
      <c r="BIY77" t="s">
        <v>229</v>
      </c>
      <c r="BIZ77" t="s">
        <v>633</v>
      </c>
      <c r="BJA77" t="s">
        <v>229</v>
      </c>
      <c r="BJB77" t="s">
        <v>633</v>
      </c>
      <c r="BJC77" t="s">
        <v>229</v>
      </c>
      <c r="BJD77" t="s">
        <v>633</v>
      </c>
      <c r="BJE77" t="s">
        <v>229</v>
      </c>
      <c r="BJF77" t="s">
        <v>633</v>
      </c>
      <c r="BJG77" t="s">
        <v>229</v>
      </c>
      <c r="BJH77" t="s">
        <v>633</v>
      </c>
      <c r="BJI77" t="s">
        <v>229</v>
      </c>
      <c r="BJJ77" t="s">
        <v>633</v>
      </c>
      <c r="BJK77" t="s">
        <v>229</v>
      </c>
      <c r="BJL77" t="s">
        <v>633</v>
      </c>
      <c r="BJM77" t="s">
        <v>229</v>
      </c>
      <c r="BJN77" t="s">
        <v>633</v>
      </c>
      <c r="BJO77" t="s">
        <v>229</v>
      </c>
      <c r="BJP77" t="s">
        <v>633</v>
      </c>
      <c r="BJQ77" t="s">
        <v>229</v>
      </c>
      <c r="BJR77" t="s">
        <v>633</v>
      </c>
      <c r="BJS77" t="s">
        <v>229</v>
      </c>
      <c r="BJT77" t="s">
        <v>633</v>
      </c>
      <c r="BJU77" t="s">
        <v>229</v>
      </c>
      <c r="BJV77" t="s">
        <v>633</v>
      </c>
      <c r="BJW77" t="s">
        <v>229</v>
      </c>
      <c r="BJX77" t="s">
        <v>633</v>
      </c>
      <c r="BJY77" t="s">
        <v>229</v>
      </c>
      <c r="BJZ77" t="s">
        <v>633</v>
      </c>
      <c r="BKA77" t="s">
        <v>229</v>
      </c>
      <c r="BKB77" t="s">
        <v>633</v>
      </c>
      <c r="BKC77" t="s">
        <v>229</v>
      </c>
      <c r="BKD77" t="s">
        <v>633</v>
      </c>
      <c r="BKE77" t="s">
        <v>229</v>
      </c>
      <c r="BKF77" t="s">
        <v>633</v>
      </c>
      <c r="BKG77" t="s">
        <v>229</v>
      </c>
      <c r="BKH77" t="s">
        <v>633</v>
      </c>
      <c r="BKI77" t="s">
        <v>229</v>
      </c>
      <c r="BKJ77" t="s">
        <v>633</v>
      </c>
      <c r="BKK77" t="s">
        <v>229</v>
      </c>
      <c r="BKL77" t="s">
        <v>633</v>
      </c>
      <c r="BKM77" t="s">
        <v>229</v>
      </c>
      <c r="BKN77" t="s">
        <v>633</v>
      </c>
      <c r="BKO77" t="s">
        <v>229</v>
      </c>
      <c r="BKP77" t="s">
        <v>633</v>
      </c>
      <c r="BKQ77" t="s">
        <v>229</v>
      </c>
      <c r="BKR77" t="s">
        <v>633</v>
      </c>
      <c r="BKS77" t="s">
        <v>229</v>
      </c>
      <c r="BKT77" t="s">
        <v>633</v>
      </c>
      <c r="BKU77" t="s">
        <v>229</v>
      </c>
      <c r="BKV77" t="s">
        <v>633</v>
      </c>
      <c r="BKW77" t="s">
        <v>229</v>
      </c>
      <c r="BKX77" t="s">
        <v>633</v>
      </c>
      <c r="BKY77" t="s">
        <v>229</v>
      </c>
      <c r="BKZ77" t="s">
        <v>633</v>
      </c>
      <c r="BLA77" t="s">
        <v>229</v>
      </c>
      <c r="BLB77" t="s">
        <v>633</v>
      </c>
      <c r="BLC77" t="s">
        <v>229</v>
      </c>
      <c r="BLD77" t="s">
        <v>633</v>
      </c>
      <c r="BLE77" t="s">
        <v>229</v>
      </c>
      <c r="BLF77" t="s">
        <v>633</v>
      </c>
      <c r="BLG77" t="s">
        <v>229</v>
      </c>
      <c r="BLH77" t="s">
        <v>633</v>
      </c>
      <c r="BLI77" t="s">
        <v>229</v>
      </c>
      <c r="BLJ77" t="s">
        <v>633</v>
      </c>
      <c r="BLK77" t="s">
        <v>229</v>
      </c>
      <c r="BLL77" t="s">
        <v>633</v>
      </c>
      <c r="BLM77" t="s">
        <v>229</v>
      </c>
      <c r="BLN77" t="s">
        <v>633</v>
      </c>
      <c r="BLO77" t="s">
        <v>229</v>
      </c>
      <c r="BLP77" t="s">
        <v>633</v>
      </c>
      <c r="BLQ77" t="s">
        <v>229</v>
      </c>
      <c r="BLR77" t="s">
        <v>633</v>
      </c>
      <c r="BLS77" t="s">
        <v>229</v>
      </c>
      <c r="BLT77" t="s">
        <v>633</v>
      </c>
      <c r="BLU77" t="s">
        <v>229</v>
      </c>
      <c r="BLV77" t="s">
        <v>633</v>
      </c>
      <c r="BLW77" t="s">
        <v>229</v>
      </c>
      <c r="BLX77" t="s">
        <v>633</v>
      </c>
      <c r="BLY77" t="s">
        <v>229</v>
      </c>
      <c r="BLZ77" t="s">
        <v>633</v>
      </c>
      <c r="BMA77" t="s">
        <v>229</v>
      </c>
      <c r="BMB77" t="s">
        <v>633</v>
      </c>
      <c r="BMC77" t="s">
        <v>229</v>
      </c>
      <c r="BMD77" t="s">
        <v>633</v>
      </c>
      <c r="BME77" t="s">
        <v>229</v>
      </c>
      <c r="BMF77" t="s">
        <v>633</v>
      </c>
      <c r="BMG77" t="s">
        <v>229</v>
      </c>
      <c r="BMH77" t="s">
        <v>633</v>
      </c>
      <c r="BMI77" t="s">
        <v>229</v>
      </c>
      <c r="BMJ77" t="s">
        <v>633</v>
      </c>
      <c r="BMK77" t="s">
        <v>229</v>
      </c>
      <c r="BML77" t="s">
        <v>633</v>
      </c>
      <c r="BMM77" t="s">
        <v>229</v>
      </c>
      <c r="BMN77" t="s">
        <v>633</v>
      </c>
      <c r="BMO77" t="s">
        <v>229</v>
      </c>
      <c r="BMP77" t="s">
        <v>633</v>
      </c>
      <c r="BMQ77" t="s">
        <v>229</v>
      </c>
      <c r="BMR77" t="s">
        <v>633</v>
      </c>
      <c r="BMS77" t="s">
        <v>229</v>
      </c>
      <c r="BMT77" t="s">
        <v>633</v>
      </c>
      <c r="BMU77" t="s">
        <v>229</v>
      </c>
      <c r="BMV77" t="s">
        <v>633</v>
      </c>
      <c r="BMW77" t="s">
        <v>229</v>
      </c>
      <c r="BMX77" t="s">
        <v>633</v>
      </c>
      <c r="BMY77" t="s">
        <v>229</v>
      </c>
      <c r="BMZ77" t="s">
        <v>633</v>
      </c>
      <c r="BNA77" t="s">
        <v>229</v>
      </c>
      <c r="BNB77" t="s">
        <v>633</v>
      </c>
      <c r="BNC77" t="s">
        <v>229</v>
      </c>
      <c r="BND77" t="s">
        <v>633</v>
      </c>
      <c r="BNE77" t="s">
        <v>229</v>
      </c>
      <c r="BNF77" t="s">
        <v>633</v>
      </c>
      <c r="BNG77" t="s">
        <v>229</v>
      </c>
      <c r="BNH77" t="s">
        <v>633</v>
      </c>
      <c r="BNI77" t="s">
        <v>229</v>
      </c>
      <c r="BNJ77" t="s">
        <v>633</v>
      </c>
      <c r="BNK77" t="s">
        <v>229</v>
      </c>
      <c r="BNL77" t="s">
        <v>633</v>
      </c>
      <c r="BNM77" t="s">
        <v>229</v>
      </c>
      <c r="BNN77" t="s">
        <v>633</v>
      </c>
      <c r="BNO77" t="s">
        <v>229</v>
      </c>
      <c r="BNP77" t="s">
        <v>633</v>
      </c>
      <c r="BNQ77" t="s">
        <v>229</v>
      </c>
      <c r="BNR77" t="s">
        <v>633</v>
      </c>
      <c r="BNS77" t="s">
        <v>229</v>
      </c>
      <c r="BNT77" t="s">
        <v>633</v>
      </c>
      <c r="BNU77" t="s">
        <v>229</v>
      </c>
      <c r="BNV77" t="s">
        <v>633</v>
      </c>
      <c r="BNW77" t="s">
        <v>229</v>
      </c>
      <c r="BNX77" t="s">
        <v>633</v>
      </c>
      <c r="BNY77" t="s">
        <v>229</v>
      </c>
      <c r="BNZ77" t="s">
        <v>633</v>
      </c>
      <c r="BOA77" t="s">
        <v>229</v>
      </c>
      <c r="BOB77" t="s">
        <v>633</v>
      </c>
      <c r="BOC77" t="s">
        <v>229</v>
      </c>
      <c r="BOD77" t="s">
        <v>633</v>
      </c>
      <c r="BOE77" t="s">
        <v>229</v>
      </c>
      <c r="BOF77" t="s">
        <v>633</v>
      </c>
      <c r="BOG77" t="s">
        <v>229</v>
      </c>
      <c r="BOH77" t="s">
        <v>633</v>
      </c>
      <c r="BOI77" t="s">
        <v>229</v>
      </c>
      <c r="BOJ77" t="s">
        <v>633</v>
      </c>
      <c r="BOK77" t="s">
        <v>229</v>
      </c>
      <c r="BOL77" t="s">
        <v>633</v>
      </c>
      <c r="BOM77" t="s">
        <v>229</v>
      </c>
      <c r="BON77" t="s">
        <v>633</v>
      </c>
      <c r="BOO77" t="s">
        <v>229</v>
      </c>
      <c r="BOP77" t="s">
        <v>633</v>
      </c>
      <c r="BOQ77" t="s">
        <v>229</v>
      </c>
      <c r="BOR77" t="s">
        <v>633</v>
      </c>
      <c r="BOS77" t="s">
        <v>229</v>
      </c>
      <c r="BOT77" t="s">
        <v>633</v>
      </c>
      <c r="BOU77" t="s">
        <v>229</v>
      </c>
      <c r="BOV77" t="s">
        <v>633</v>
      </c>
      <c r="BOW77" t="s">
        <v>229</v>
      </c>
      <c r="BOX77" t="s">
        <v>633</v>
      </c>
      <c r="BOY77" t="s">
        <v>229</v>
      </c>
      <c r="BOZ77" t="s">
        <v>633</v>
      </c>
      <c r="BPA77" t="s">
        <v>229</v>
      </c>
      <c r="BPB77" t="s">
        <v>633</v>
      </c>
      <c r="BPC77" t="s">
        <v>229</v>
      </c>
      <c r="BPD77" t="s">
        <v>633</v>
      </c>
      <c r="BPE77" t="s">
        <v>229</v>
      </c>
      <c r="BPF77" t="s">
        <v>633</v>
      </c>
      <c r="BPG77" t="s">
        <v>229</v>
      </c>
      <c r="BPH77" t="s">
        <v>633</v>
      </c>
      <c r="BPI77" t="s">
        <v>229</v>
      </c>
      <c r="BPJ77" t="s">
        <v>633</v>
      </c>
      <c r="BPK77" t="s">
        <v>229</v>
      </c>
      <c r="BPL77" t="s">
        <v>633</v>
      </c>
      <c r="BPM77" t="s">
        <v>229</v>
      </c>
      <c r="BPN77" t="s">
        <v>633</v>
      </c>
      <c r="BPO77" t="s">
        <v>229</v>
      </c>
      <c r="BPP77" t="s">
        <v>633</v>
      </c>
      <c r="BPQ77" t="s">
        <v>229</v>
      </c>
      <c r="BPR77" t="s">
        <v>633</v>
      </c>
      <c r="BPS77" t="s">
        <v>229</v>
      </c>
      <c r="BPT77" t="s">
        <v>633</v>
      </c>
      <c r="BPU77" t="s">
        <v>229</v>
      </c>
      <c r="BPV77" t="s">
        <v>633</v>
      </c>
      <c r="BPW77" t="s">
        <v>229</v>
      </c>
      <c r="BPX77" t="s">
        <v>633</v>
      </c>
      <c r="BPY77" t="s">
        <v>229</v>
      </c>
      <c r="BPZ77" t="s">
        <v>633</v>
      </c>
      <c r="BQA77" t="s">
        <v>229</v>
      </c>
      <c r="BQB77" t="s">
        <v>633</v>
      </c>
      <c r="BQC77" t="s">
        <v>229</v>
      </c>
      <c r="BQD77" t="s">
        <v>633</v>
      </c>
      <c r="BQE77" t="s">
        <v>229</v>
      </c>
      <c r="BQF77" t="s">
        <v>633</v>
      </c>
      <c r="BQG77" t="s">
        <v>229</v>
      </c>
      <c r="BQH77" t="s">
        <v>633</v>
      </c>
      <c r="BQI77" t="s">
        <v>229</v>
      </c>
      <c r="BQJ77" t="s">
        <v>633</v>
      </c>
      <c r="BQK77" t="s">
        <v>229</v>
      </c>
      <c r="BQL77" t="s">
        <v>633</v>
      </c>
      <c r="BQM77" t="s">
        <v>229</v>
      </c>
      <c r="BQN77" t="s">
        <v>633</v>
      </c>
      <c r="BQO77" t="s">
        <v>229</v>
      </c>
      <c r="BQP77" t="s">
        <v>633</v>
      </c>
      <c r="BQQ77" t="s">
        <v>229</v>
      </c>
      <c r="BQR77" t="s">
        <v>633</v>
      </c>
      <c r="BQS77" t="s">
        <v>229</v>
      </c>
      <c r="BQT77" t="s">
        <v>633</v>
      </c>
      <c r="BQU77" t="s">
        <v>229</v>
      </c>
      <c r="BQV77" t="s">
        <v>633</v>
      </c>
      <c r="BQW77" t="s">
        <v>229</v>
      </c>
      <c r="BQX77" t="s">
        <v>633</v>
      </c>
      <c r="BQY77" t="s">
        <v>229</v>
      </c>
      <c r="BQZ77" t="s">
        <v>633</v>
      </c>
      <c r="BRA77" t="s">
        <v>229</v>
      </c>
      <c r="BRB77" t="s">
        <v>633</v>
      </c>
      <c r="BRC77" t="s">
        <v>229</v>
      </c>
      <c r="BRD77" t="s">
        <v>633</v>
      </c>
      <c r="BRE77" t="s">
        <v>229</v>
      </c>
      <c r="BRF77" t="s">
        <v>633</v>
      </c>
      <c r="BRG77" t="s">
        <v>229</v>
      </c>
      <c r="BRH77" t="s">
        <v>633</v>
      </c>
      <c r="BRI77" t="s">
        <v>229</v>
      </c>
      <c r="BRJ77" t="s">
        <v>633</v>
      </c>
      <c r="BRK77" t="s">
        <v>229</v>
      </c>
      <c r="BRL77" t="s">
        <v>633</v>
      </c>
      <c r="BRM77" t="s">
        <v>229</v>
      </c>
      <c r="BRN77" t="s">
        <v>633</v>
      </c>
      <c r="BRO77" t="s">
        <v>229</v>
      </c>
      <c r="BRP77" t="s">
        <v>633</v>
      </c>
      <c r="BRQ77" t="s">
        <v>229</v>
      </c>
      <c r="BRR77" t="s">
        <v>633</v>
      </c>
      <c r="BRS77" t="s">
        <v>229</v>
      </c>
      <c r="BRT77" t="s">
        <v>633</v>
      </c>
      <c r="BRU77" t="s">
        <v>229</v>
      </c>
      <c r="BRV77" t="s">
        <v>633</v>
      </c>
      <c r="BRW77" t="s">
        <v>229</v>
      </c>
      <c r="BRX77" t="s">
        <v>633</v>
      </c>
      <c r="BRY77" t="s">
        <v>229</v>
      </c>
      <c r="BRZ77" t="s">
        <v>633</v>
      </c>
      <c r="BSA77" t="s">
        <v>229</v>
      </c>
      <c r="BSB77" t="s">
        <v>633</v>
      </c>
      <c r="BSC77" t="s">
        <v>229</v>
      </c>
      <c r="BSD77" t="s">
        <v>633</v>
      </c>
      <c r="BSE77" t="s">
        <v>229</v>
      </c>
      <c r="BSF77" t="s">
        <v>633</v>
      </c>
      <c r="BSG77" t="s">
        <v>229</v>
      </c>
      <c r="BSH77" t="s">
        <v>633</v>
      </c>
      <c r="BSI77" t="s">
        <v>229</v>
      </c>
      <c r="BSJ77" t="s">
        <v>633</v>
      </c>
      <c r="BSK77" t="s">
        <v>229</v>
      </c>
      <c r="BSL77" t="s">
        <v>633</v>
      </c>
      <c r="BSM77" t="s">
        <v>229</v>
      </c>
      <c r="BSN77" t="s">
        <v>633</v>
      </c>
      <c r="BSO77" t="s">
        <v>229</v>
      </c>
      <c r="BSP77" t="s">
        <v>633</v>
      </c>
      <c r="BSQ77" t="s">
        <v>229</v>
      </c>
      <c r="BSR77" t="s">
        <v>633</v>
      </c>
      <c r="BSS77" t="s">
        <v>229</v>
      </c>
      <c r="BST77" t="s">
        <v>633</v>
      </c>
      <c r="BSU77" t="s">
        <v>229</v>
      </c>
      <c r="BSV77" t="s">
        <v>633</v>
      </c>
      <c r="BSW77" t="s">
        <v>229</v>
      </c>
      <c r="BSX77" t="s">
        <v>633</v>
      </c>
      <c r="BSY77" t="s">
        <v>229</v>
      </c>
      <c r="BSZ77" t="s">
        <v>633</v>
      </c>
      <c r="BTA77" t="s">
        <v>229</v>
      </c>
      <c r="BTB77" t="s">
        <v>633</v>
      </c>
      <c r="BTC77" t="s">
        <v>229</v>
      </c>
      <c r="BTD77" t="s">
        <v>633</v>
      </c>
      <c r="BTE77" t="s">
        <v>229</v>
      </c>
      <c r="BTF77" t="s">
        <v>633</v>
      </c>
      <c r="BTG77" t="s">
        <v>229</v>
      </c>
      <c r="BTH77" t="s">
        <v>633</v>
      </c>
      <c r="BTI77" t="s">
        <v>229</v>
      </c>
      <c r="BTJ77" t="s">
        <v>633</v>
      </c>
      <c r="BTK77" t="s">
        <v>229</v>
      </c>
      <c r="BTL77" t="s">
        <v>633</v>
      </c>
      <c r="BTM77" t="s">
        <v>229</v>
      </c>
      <c r="BTN77" t="s">
        <v>633</v>
      </c>
      <c r="BTO77" t="s">
        <v>229</v>
      </c>
      <c r="BTP77" t="s">
        <v>633</v>
      </c>
      <c r="BTQ77" t="s">
        <v>229</v>
      </c>
      <c r="BTR77" t="s">
        <v>633</v>
      </c>
      <c r="BTS77" t="s">
        <v>229</v>
      </c>
      <c r="BTT77" t="s">
        <v>633</v>
      </c>
      <c r="BTU77" t="s">
        <v>229</v>
      </c>
      <c r="BTV77" t="s">
        <v>633</v>
      </c>
      <c r="BTW77" t="s">
        <v>229</v>
      </c>
      <c r="BTX77" t="s">
        <v>633</v>
      </c>
      <c r="BTY77" t="s">
        <v>229</v>
      </c>
      <c r="BTZ77" t="s">
        <v>633</v>
      </c>
      <c r="BUA77" t="s">
        <v>229</v>
      </c>
      <c r="BUB77" t="s">
        <v>633</v>
      </c>
      <c r="BUC77" t="s">
        <v>229</v>
      </c>
      <c r="BUD77" t="s">
        <v>633</v>
      </c>
      <c r="BUE77" t="s">
        <v>229</v>
      </c>
      <c r="BUF77" t="s">
        <v>633</v>
      </c>
      <c r="BUG77" t="s">
        <v>229</v>
      </c>
      <c r="BUH77" t="s">
        <v>633</v>
      </c>
      <c r="BUI77" t="s">
        <v>229</v>
      </c>
      <c r="BUJ77" t="s">
        <v>633</v>
      </c>
      <c r="BUK77" t="s">
        <v>229</v>
      </c>
      <c r="BUL77" t="s">
        <v>633</v>
      </c>
      <c r="BUM77" t="s">
        <v>229</v>
      </c>
      <c r="BUN77" t="s">
        <v>633</v>
      </c>
      <c r="BUO77" t="s">
        <v>229</v>
      </c>
      <c r="BUP77" t="s">
        <v>633</v>
      </c>
      <c r="BUQ77" t="s">
        <v>229</v>
      </c>
      <c r="BUR77" t="s">
        <v>633</v>
      </c>
      <c r="BUS77" t="s">
        <v>229</v>
      </c>
      <c r="BUT77" t="s">
        <v>633</v>
      </c>
      <c r="BUU77" t="s">
        <v>229</v>
      </c>
      <c r="BUV77" t="s">
        <v>633</v>
      </c>
      <c r="BUW77" t="s">
        <v>229</v>
      </c>
      <c r="BUX77" t="s">
        <v>633</v>
      </c>
      <c r="BUY77" t="s">
        <v>229</v>
      </c>
      <c r="BUZ77" t="s">
        <v>633</v>
      </c>
      <c r="BVA77" t="s">
        <v>229</v>
      </c>
      <c r="BVB77" t="s">
        <v>633</v>
      </c>
      <c r="BVC77" t="s">
        <v>229</v>
      </c>
      <c r="BVD77" t="s">
        <v>633</v>
      </c>
      <c r="BVE77" t="s">
        <v>229</v>
      </c>
      <c r="BVF77" t="s">
        <v>633</v>
      </c>
      <c r="BVG77" t="s">
        <v>229</v>
      </c>
      <c r="BVH77" t="s">
        <v>633</v>
      </c>
      <c r="BVI77" t="s">
        <v>229</v>
      </c>
      <c r="BVJ77" t="s">
        <v>633</v>
      </c>
      <c r="BVK77" t="s">
        <v>229</v>
      </c>
      <c r="BVL77" t="s">
        <v>633</v>
      </c>
      <c r="BVM77" t="s">
        <v>229</v>
      </c>
      <c r="BVN77" t="s">
        <v>633</v>
      </c>
      <c r="BVO77" t="s">
        <v>229</v>
      </c>
      <c r="BVP77" t="s">
        <v>633</v>
      </c>
      <c r="BVQ77" t="s">
        <v>229</v>
      </c>
      <c r="BVR77" t="s">
        <v>633</v>
      </c>
      <c r="BVS77" t="s">
        <v>229</v>
      </c>
      <c r="BVT77" t="s">
        <v>633</v>
      </c>
      <c r="BVU77" t="s">
        <v>229</v>
      </c>
      <c r="BVV77" t="s">
        <v>633</v>
      </c>
      <c r="BVW77" t="s">
        <v>229</v>
      </c>
      <c r="BVX77" t="s">
        <v>633</v>
      </c>
      <c r="BVY77" t="s">
        <v>229</v>
      </c>
      <c r="BVZ77" t="s">
        <v>633</v>
      </c>
      <c r="BWA77" t="s">
        <v>229</v>
      </c>
      <c r="BWB77" t="s">
        <v>633</v>
      </c>
      <c r="BWC77" t="s">
        <v>229</v>
      </c>
      <c r="BWD77" t="s">
        <v>633</v>
      </c>
      <c r="BWE77" t="s">
        <v>229</v>
      </c>
      <c r="BWF77" t="s">
        <v>633</v>
      </c>
      <c r="BWG77" t="s">
        <v>229</v>
      </c>
      <c r="BWH77" t="s">
        <v>633</v>
      </c>
      <c r="BWI77" t="s">
        <v>229</v>
      </c>
      <c r="BWJ77" t="s">
        <v>633</v>
      </c>
      <c r="BWK77" t="s">
        <v>229</v>
      </c>
      <c r="BWL77" t="s">
        <v>633</v>
      </c>
      <c r="BWM77" t="s">
        <v>229</v>
      </c>
      <c r="BWN77" t="s">
        <v>633</v>
      </c>
      <c r="BWO77" t="s">
        <v>229</v>
      </c>
      <c r="BWP77" t="s">
        <v>633</v>
      </c>
      <c r="BWQ77" t="s">
        <v>229</v>
      </c>
      <c r="BWR77" t="s">
        <v>633</v>
      </c>
      <c r="BWS77" t="s">
        <v>229</v>
      </c>
      <c r="BWT77" t="s">
        <v>633</v>
      </c>
      <c r="BWU77" t="s">
        <v>229</v>
      </c>
      <c r="BWV77" t="s">
        <v>633</v>
      </c>
      <c r="BWW77" t="s">
        <v>229</v>
      </c>
      <c r="BWX77" t="s">
        <v>633</v>
      </c>
      <c r="BWY77" t="s">
        <v>229</v>
      </c>
      <c r="BWZ77" t="s">
        <v>633</v>
      </c>
      <c r="BXA77" t="s">
        <v>229</v>
      </c>
      <c r="BXB77" t="s">
        <v>633</v>
      </c>
      <c r="BXC77" t="s">
        <v>229</v>
      </c>
      <c r="BXD77" t="s">
        <v>633</v>
      </c>
      <c r="BXE77" t="s">
        <v>229</v>
      </c>
      <c r="BXF77" t="s">
        <v>633</v>
      </c>
      <c r="BXG77" t="s">
        <v>229</v>
      </c>
      <c r="BXH77" t="s">
        <v>633</v>
      </c>
      <c r="BXI77" t="s">
        <v>229</v>
      </c>
      <c r="BXJ77" t="s">
        <v>633</v>
      </c>
      <c r="BXK77" t="s">
        <v>229</v>
      </c>
      <c r="BXL77" t="s">
        <v>633</v>
      </c>
      <c r="BXM77" t="s">
        <v>229</v>
      </c>
      <c r="BXN77" t="s">
        <v>633</v>
      </c>
      <c r="BXO77" t="s">
        <v>229</v>
      </c>
      <c r="BXP77" t="s">
        <v>633</v>
      </c>
      <c r="BXQ77" t="s">
        <v>229</v>
      </c>
      <c r="BXR77" t="s">
        <v>633</v>
      </c>
      <c r="BXS77" t="s">
        <v>229</v>
      </c>
      <c r="BXT77" t="s">
        <v>633</v>
      </c>
      <c r="BXU77" t="s">
        <v>229</v>
      </c>
      <c r="BXV77" t="s">
        <v>633</v>
      </c>
      <c r="BXW77" t="s">
        <v>229</v>
      </c>
      <c r="BXX77" t="s">
        <v>633</v>
      </c>
      <c r="BXY77" t="s">
        <v>229</v>
      </c>
      <c r="BXZ77" t="s">
        <v>633</v>
      </c>
      <c r="BYA77" t="s">
        <v>229</v>
      </c>
      <c r="BYB77" t="s">
        <v>633</v>
      </c>
      <c r="BYC77" t="s">
        <v>229</v>
      </c>
      <c r="BYD77" t="s">
        <v>633</v>
      </c>
      <c r="BYE77" t="s">
        <v>229</v>
      </c>
      <c r="BYF77" t="s">
        <v>633</v>
      </c>
      <c r="BYG77" t="s">
        <v>229</v>
      </c>
      <c r="BYH77" t="s">
        <v>633</v>
      </c>
      <c r="BYI77" t="s">
        <v>229</v>
      </c>
      <c r="BYJ77" t="s">
        <v>633</v>
      </c>
      <c r="BYK77" t="s">
        <v>229</v>
      </c>
      <c r="BYL77" t="s">
        <v>633</v>
      </c>
      <c r="BYM77" t="s">
        <v>229</v>
      </c>
      <c r="BYN77" t="s">
        <v>633</v>
      </c>
      <c r="BYO77" t="s">
        <v>229</v>
      </c>
      <c r="BYP77" t="s">
        <v>633</v>
      </c>
      <c r="BYQ77" t="s">
        <v>229</v>
      </c>
      <c r="BYR77" t="s">
        <v>633</v>
      </c>
      <c r="BYS77" t="s">
        <v>229</v>
      </c>
      <c r="BYT77" t="s">
        <v>633</v>
      </c>
      <c r="BYU77" t="s">
        <v>229</v>
      </c>
      <c r="BYV77" t="s">
        <v>633</v>
      </c>
      <c r="BYW77" t="s">
        <v>229</v>
      </c>
      <c r="BYX77" t="s">
        <v>633</v>
      </c>
      <c r="BYY77" t="s">
        <v>229</v>
      </c>
      <c r="BYZ77" t="s">
        <v>633</v>
      </c>
      <c r="BZA77" t="s">
        <v>229</v>
      </c>
      <c r="BZB77" t="s">
        <v>633</v>
      </c>
      <c r="BZC77" t="s">
        <v>229</v>
      </c>
      <c r="BZD77" t="s">
        <v>633</v>
      </c>
      <c r="BZE77" t="s">
        <v>229</v>
      </c>
      <c r="BZF77" t="s">
        <v>633</v>
      </c>
      <c r="BZG77" t="s">
        <v>229</v>
      </c>
      <c r="BZH77" t="s">
        <v>633</v>
      </c>
      <c r="BZI77" t="s">
        <v>229</v>
      </c>
      <c r="BZJ77" t="s">
        <v>633</v>
      </c>
      <c r="BZK77" t="s">
        <v>229</v>
      </c>
      <c r="BZL77" t="s">
        <v>633</v>
      </c>
      <c r="BZM77" t="s">
        <v>229</v>
      </c>
      <c r="BZN77" t="s">
        <v>633</v>
      </c>
      <c r="BZO77" t="s">
        <v>229</v>
      </c>
      <c r="BZP77" t="s">
        <v>633</v>
      </c>
      <c r="BZQ77" t="s">
        <v>229</v>
      </c>
      <c r="BZR77" t="s">
        <v>633</v>
      </c>
      <c r="BZS77" t="s">
        <v>229</v>
      </c>
      <c r="BZT77" t="s">
        <v>633</v>
      </c>
      <c r="BZU77" t="s">
        <v>229</v>
      </c>
      <c r="BZV77" t="s">
        <v>633</v>
      </c>
      <c r="BZW77" t="s">
        <v>229</v>
      </c>
      <c r="BZX77" t="s">
        <v>633</v>
      </c>
      <c r="BZY77" t="s">
        <v>229</v>
      </c>
      <c r="BZZ77" t="s">
        <v>633</v>
      </c>
      <c r="CAA77" t="s">
        <v>229</v>
      </c>
      <c r="CAB77" t="s">
        <v>633</v>
      </c>
      <c r="CAC77" t="s">
        <v>229</v>
      </c>
      <c r="CAD77" t="s">
        <v>633</v>
      </c>
      <c r="CAE77" t="s">
        <v>229</v>
      </c>
      <c r="CAF77" t="s">
        <v>633</v>
      </c>
      <c r="CAG77" t="s">
        <v>229</v>
      </c>
      <c r="CAH77" t="s">
        <v>633</v>
      </c>
      <c r="CAI77" t="s">
        <v>229</v>
      </c>
      <c r="CAJ77" t="s">
        <v>633</v>
      </c>
      <c r="CAK77" t="s">
        <v>229</v>
      </c>
      <c r="CAL77" t="s">
        <v>633</v>
      </c>
      <c r="CAM77" t="s">
        <v>229</v>
      </c>
      <c r="CAN77" t="s">
        <v>633</v>
      </c>
      <c r="CAO77" t="s">
        <v>229</v>
      </c>
      <c r="CAP77" t="s">
        <v>633</v>
      </c>
      <c r="CAQ77" t="s">
        <v>229</v>
      </c>
      <c r="CAR77" t="s">
        <v>633</v>
      </c>
      <c r="CAS77" t="s">
        <v>229</v>
      </c>
      <c r="CAT77" t="s">
        <v>633</v>
      </c>
      <c r="CAU77" t="s">
        <v>229</v>
      </c>
      <c r="CAV77" t="s">
        <v>633</v>
      </c>
      <c r="CAW77" t="s">
        <v>229</v>
      </c>
      <c r="CAX77" t="s">
        <v>633</v>
      </c>
      <c r="CAY77" t="s">
        <v>229</v>
      </c>
      <c r="CAZ77" t="s">
        <v>633</v>
      </c>
      <c r="CBA77" t="s">
        <v>229</v>
      </c>
      <c r="CBB77" t="s">
        <v>633</v>
      </c>
      <c r="CBC77" t="s">
        <v>229</v>
      </c>
      <c r="CBD77" t="s">
        <v>633</v>
      </c>
      <c r="CBE77" t="s">
        <v>229</v>
      </c>
      <c r="CBF77" t="s">
        <v>633</v>
      </c>
      <c r="CBG77" t="s">
        <v>229</v>
      </c>
      <c r="CBH77" t="s">
        <v>633</v>
      </c>
      <c r="CBI77" t="s">
        <v>229</v>
      </c>
      <c r="CBJ77" t="s">
        <v>633</v>
      </c>
      <c r="CBK77" t="s">
        <v>229</v>
      </c>
      <c r="CBL77" t="s">
        <v>633</v>
      </c>
      <c r="CBM77" t="s">
        <v>229</v>
      </c>
      <c r="CBN77" t="s">
        <v>633</v>
      </c>
      <c r="CBO77" t="s">
        <v>229</v>
      </c>
      <c r="CBP77" t="s">
        <v>633</v>
      </c>
      <c r="CBQ77" t="s">
        <v>229</v>
      </c>
      <c r="CBR77" t="s">
        <v>633</v>
      </c>
      <c r="CBS77" t="s">
        <v>229</v>
      </c>
      <c r="CBT77" t="s">
        <v>633</v>
      </c>
      <c r="CBU77" t="s">
        <v>229</v>
      </c>
      <c r="CBV77" t="s">
        <v>633</v>
      </c>
      <c r="CBW77" t="s">
        <v>229</v>
      </c>
      <c r="CBX77" t="s">
        <v>633</v>
      </c>
      <c r="CBY77" t="s">
        <v>229</v>
      </c>
      <c r="CBZ77" t="s">
        <v>633</v>
      </c>
      <c r="CCA77" t="s">
        <v>229</v>
      </c>
      <c r="CCB77" t="s">
        <v>633</v>
      </c>
      <c r="CCC77" t="s">
        <v>229</v>
      </c>
      <c r="CCD77" t="s">
        <v>633</v>
      </c>
      <c r="CCE77" t="s">
        <v>229</v>
      </c>
      <c r="CCF77" t="s">
        <v>633</v>
      </c>
      <c r="CCG77" t="s">
        <v>229</v>
      </c>
      <c r="CCH77" t="s">
        <v>633</v>
      </c>
      <c r="CCI77" t="s">
        <v>229</v>
      </c>
      <c r="CCJ77" t="s">
        <v>633</v>
      </c>
      <c r="CCK77" t="s">
        <v>229</v>
      </c>
      <c r="CCL77" t="s">
        <v>633</v>
      </c>
      <c r="CCM77" t="s">
        <v>229</v>
      </c>
      <c r="CCN77" t="s">
        <v>633</v>
      </c>
      <c r="CCO77" t="s">
        <v>229</v>
      </c>
      <c r="CCP77" t="s">
        <v>633</v>
      </c>
      <c r="CCQ77" t="s">
        <v>229</v>
      </c>
      <c r="CCR77" t="s">
        <v>633</v>
      </c>
      <c r="CCS77" t="s">
        <v>229</v>
      </c>
      <c r="CCT77" t="s">
        <v>633</v>
      </c>
      <c r="CCU77" t="s">
        <v>229</v>
      </c>
      <c r="CCV77" t="s">
        <v>633</v>
      </c>
      <c r="CCW77" t="s">
        <v>229</v>
      </c>
      <c r="CCX77" t="s">
        <v>633</v>
      </c>
      <c r="CCY77" t="s">
        <v>229</v>
      </c>
      <c r="CCZ77" t="s">
        <v>633</v>
      </c>
      <c r="CDA77" t="s">
        <v>229</v>
      </c>
      <c r="CDB77" t="s">
        <v>633</v>
      </c>
      <c r="CDC77" t="s">
        <v>229</v>
      </c>
      <c r="CDD77" t="s">
        <v>633</v>
      </c>
      <c r="CDE77" t="s">
        <v>229</v>
      </c>
      <c r="CDF77" t="s">
        <v>633</v>
      </c>
      <c r="CDG77" t="s">
        <v>229</v>
      </c>
      <c r="CDH77" t="s">
        <v>633</v>
      </c>
      <c r="CDI77" t="s">
        <v>229</v>
      </c>
      <c r="CDJ77" t="s">
        <v>633</v>
      </c>
      <c r="CDK77" t="s">
        <v>229</v>
      </c>
      <c r="CDL77" t="s">
        <v>633</v>
      </c>
      <c r="CDM77" t="s">
        <v>229</v>
      </c>
      <c r="CDN77" t="s">
        <v>633</v>
      </c>
      <c r="CDO77" t="s">
        <v>229</v>
      </c>
      <c r="CDP77" t="s">
        <v>633</v>
      </c>
      <c r="CDQ77" t="s">
        <v>229</v>
      </c>
      <c r="CDR77" t="s">
        <v>633</v>
      </c>
      <c r="CDS77" t="s">
        <v>229</v>
      </c>
      <c r="CDT77" t="s">
        <v>633</v>
      </c>
      <c r="CDU77" t="s">
        <v>229</v>
      </c>
      <c r="CDV77" t="s">
        <v>633</v>
      </c>
      <c r="CDW77" t="s">
        <v>229</v>
      </c>
      <c r="CDX77" t="s">
        <v>633</v>
      </c>
      <c r="CDY77" t="s">
        <v>229</v>
      </c>
      <c r="CDZ77" t="s">
        <v>633</v>
      </c>
      <c r="CEA77" t="s">
        <v>229</v>
      </c>
      <c r="CEB77" t="s">
        <v>633</v>
      </c>
      <c r="CEC77" t="s">
        <v>229</v>
      </c>
      <c r="CED77" t="s">
        <v>633</v>
      </c>
      <c r="CEE77" t="s">
        <v>229</v>
      </c>
      <c r="CEF77" t="s">
        <v>633</v>
      </c>
      <c r="CEG77" t="s">
        <v>229</v>
      </c>
      <c r="CEH77" t="s">
        <v>633</v>
      </c>
      <c r="CEI77" t="s">
        <v>229</v>
      </c>
      <c r="CEJ77" t="s">
        <v>633</v>
      </c>
      <c r="CEK77" t="s">
        <v>229</v>
      </c>
      <c r="CEL77" t="s">
        <v>633</v>
      </c>
      <c r="CEM77" t="s">
        <v>229</v>
      </c>
      <c r="CEN77" t="s">
        <v>633</v>
      </c>
      <c r="CEO77" t="s">
        <v>229</v>
      </c>
      <c r="CEP77" t="s">
        <v>633</v>
      </c>
      <c r="CEQ77" t="s">
        <v>229</v>
      </c>
      <c r="CER77" t="s">
        <v>633</v>
      </c>
      <c r="CES77" t="s">
        <v>229</v>
      </c>
      <c r="CET77" t="s">
        <v>633</v>
      </c>
      <c r="CEU77" t="s">
        <v>229</v>
      </c>
      <c r="CEV77" t="s">
        <v>633</v>
      </c>
      <c r="CEW77" t="s">
        <v>229</v>
      </c>
      <c r="CEX77" t="s">
        <v>633</v>
      </c>
      <c r="CEY77" t="s">
        <v>229</v>
      </c>
      <c r="CEZ77" t="s">
        <v>633</v>
      </c>
      <c r="CFA77" t="s">
        <v>229</v>
      </c>
      <c r="CFB77" t="s">
        <v>633</v>
      </c>
      <c r="CFC77" t="s">
        <v>229</v>
      </c>
      <c r="CFD77" t="s">
        <v>633</v>
      </c>
      <c r="CFE77" t="s">
        <v>229</v>
      </c>
      <c r="CFF77" t="s">
        <v>633</v>
      </c>
      <c r="CFG77" t="s">
        <v>229</v>
      </c>
      <c r="CFH77" t="s">
        <v>633</v>
      </c>
      <c r="CFI77" t="s">
        <v>229</v>
      </c>
      <c r="CFJ77" t="s">
        <v>633</v>
      </c>
      <c r="CFK77" t="s">
        <v>229</v>
      </c>
      <c r="CFL77" t="s">
        <v>633</v>
      </c>
      <c r="CFM77" t="s">
        <v>229</v>
      </c>
      <c r="CFN77" t="s">
        <v>633</v>
      </c>
      <c r="CFO77" t="s">
        <v>229</v>
      </c>
      <c r="CFP77" t="s">
        <v>633</v>
      </c>
      <c r="CFQ77" t="s">
        <v>229</v>
      </c>
      <c r="CFR77" t="s">
        <v>633</v>
      </c>
      <c r="CFS77" t="s">
        <v>229</v>
      </c>
      <c r="CFT77" t="s">
        <v>633</v>
      </c>
      <c r="CFU77" t="s">
        <v>229</v>
      </c>
      <c r="CFV77" t="s">
        <v>633</v>
      </c>
      <c r="CFW77" t="s">
        <v>229</v>
      </c>
      <c r="CFX77" t="s">
        <v>633</v>
      </c>
      <c r="CFY77" t="s">
        <v>229</v>
      </c>
      <c r="CFZ77" t="s">
        <v>633</v>
      </c>
      <c r="CGA77" t="s">
        <v>229</v>
      </c>
      <c r="CGB77" t="s">
        <v>633</v>
      </c>
      <c r="CGC77" t="s">
        <v>229</v>
      </c>
      <c r="CGD77" t="s">
        <v>633</v>
      </c>
      <c r="CGE77" t="s">
        <v>229</v>
      </c>
      <c r="CGF77" t="s">
        <v>633</v>
      </c>
      <c r="CGG77" t="s">
        <v>229</v>
      </c>
      <c r="CGH77" t="s">
        <v>633</v>
      </c>
      <c r="CGI77" t="s">
        <v>229</v>
      </c>
      <c r="CGJ77" t="s">
        <v>633</v>
      </c>
      <c r="CGK77" t="s">
        <v>229</v>
      </c>
      <c r="CGL77" t="s">
        <v>633</v>
      </c>
      <c r="CGM77" t="s">
        <v>229</v>
      </c>
      <c r="CGN77" t="s">
        <v>633</v>
      </c>
      <c r="CGO77" t="s">
        <v>229</v>
      </c>
      <c r="CGP77" t="s">
        <v>633</v>
      </c>
      <c r="CGQ77" t="s">
        <v>229</v>
      </c>
      <c r="CGR77" t="s">
        <v>633</v>
      </c>
      <c r="CGS77" t="s">
        <v>229</v>
      </c>
      <c r="CGT77" t="s">
        <v>633</v>
      </c>
      <c r="CGU77" t="s">
        <v>229</v>
      </c>
      <c r="CGV77" t="s">
        <v>633</v>
      </c>
      <c r="CGW77" t="s">
        <v>229</v>
      </c>
      <c r="CGX77" t="s">
        <v>633</v>
      </c>
      <c r="CGY77" t="s">
        <v>229</v>
      </c>
      <c r="CGZ77" t="s">
        <v>633</v>
      </c>
      <c r="CHA77" t="s">
        <v>229</v>
      </c>
      <c r="CHB77" t="s">
        <v>633</v>
      </c>
      <c r="CHC77" t="s">
        <v>229</v>
      </c>
      <c r="CHD77" t="s">
        <v>633</v>
      </c>
      <c r="CHE77" t="s">
        <v>229</v>
      </c>
      <c r="CHF77" t="s">
        <v>633</v>
      </c>
      <c r="CHG77" t="s">
        <v>229</v>
      </c>
      <c r="CHH77" t="s">
        <v>633</v>
      </c>
      <c r="CHI77" t="s">
        <v>229</v>
      </c>
      <c r="CHJ77" t="s">
        <v>633</v>
      </c>
      <c r="CHK77" t="s">
        <v>229</v>
      </c>
      <c r="CHL77" t="s">
        <v>633</v>
      </c>
      <c r="CHM77" t="s">
        <v>229</v>
      </c>
      <c r="CHN77" t="s">
        <v>633</v>
      </c>
      <c r="CHO77" t="s">
        <v>229</v>
      </c>
      <c r="CHP77" t="s">
        <v>633</v>
      </c>
      <c r="CHQ77" t="s">
        <v>229</v>
      </c>
      <c r="CHR77" t="s">
        <v>633</v>
      </c>
      <c r="CHS77" t="s">
        <v>229</v>
      </c>
      <c r="CHT77" t="s">
        <v>633</v>
      </c>
      <c r="CHU77" t="s">
        <v>229</v>
      </c>
      <c r="CHV77" t="s">
        <v>633</v>
      </c>
      <c r="CHW77" t="s">
        <v>229</v>
      </c>
      <c r="CHX77" t="s">
        <v>633</v>
      </c>
      <c r="CHY77" t="s">
        <v>229</v>
      </c>
      <c r="CHZ77" t="s">
        <v>633</v>
      </c>
      <c r="CIA77" t="s">
        <v>229</v>
      </c>
      <c r="CIB77" t="s">
        <v>633</v>
      </c>
      <c r="CIC77" t="s">
        <v>229</v>
      </c>
      <c r="CID77" t="s">
        <v>633</v>
      </c>
      <c r="CIE77" t="s">
        <v>229</v>
      </c>
      <c r="CIF77" t="s">
        <v>633</v>
      </c>
      <c r="CIG77" t="s">
        <v>229</v>
      </c>
      <c r="CIH77" t="s">
        <v>633</v>
      </c>
      <c r="CII77" t="s">
        <v>229</v>
      </c>
      <c r="CIJ77" t="s">
        <v>633</v>
      </c>
      <c r="CIK77" t="s">
        <v>229</v>
      </c>
      <c r="CIL77" t="s">
        <v>633</v>
      </c>
      <c r="CIM77" t="s">
        <v>229</v>
      </c>
      <c r="CIN77" t="s">
        <v>633</v>
      </c>
      <c r="CIO77" t="s">
        <v>229</v>
      </c>
      <c r="CIP77" t="s">
        <v>633</v>
      </c>
      <c r="CIQ77" t="s">
        <v>229</v>
      </c>
      <c r="CIR77" t="s">
        <v>633</v>
      </c>
      <c r="CIS77" t="s">
        <v>229</v>
      </c>
      <c r="CIT77" t="s">
        <v>633</v>
      </c>
      <c r="CIU77" t="s">
        <v>229</v>
      </c>
      <c r="CIV77" t="s">
        <v>633</v>
      </c>
      <c r="CIW77" t="s">
        <v>229</v>
      </c>
      <c r="CIX77" t="s">
        <v>633</v>
      </c>
      <c r="CIY77" t="s">
        <v>229</v>
      </c>
      <c r="CIZ77" t="s">
        <v>633</v>
      </c>
      <c r="CJA77" t="s">
        <v>229</v>
      </c>
      <c r="CJB77" t="s">
        <v>633</v>
      </c>
      <c r="CJC77" t="s">
        <v>229</v>
      </c>
      <c r="CJD77" t="s">
        <v>633</v>
      </c>
      <c r="CJE77" t="s">
        <v>229</v>
      </c>
      <c r="CJF77" t="s">
        <v>633</v>
      </c>
      <c r="CJG77" t="s">
        <v>229</v>
      </c>
      <c r="CJH77" t="s">
        <v>633</v>
      </c>
      <c r="CJI77" t="s">
        <v>229</v>
      </c>
      <c r="CJJ77" t="s">
        <v>633</v>
      </c>
      <c r="CJK77" t="s">
        <v>229</v>
      </c>
      <c r="CJL77" t="s">
        <v>633</v>
      </c>
      <c r="CJM77" t="s">
        <v>229</v>
      </c>
      <c r="CJN77" t="s">
        <v>633</v>
      </c>
      <c r="CJO77" t="s">
        <v>229</v>
      </c>
      <c r="CJP77" t="s">
        <v>633</v>
      </c>
      <c r="CJQ77" t="s">
        <v>229</v>
      </c>
      <c r="CJR77" t="s">
        <v>633</v>
      </c>
      <c r="CJS77" t="s">
        <v>229</v>
      </c>
      <c r="CJT77" t="s">
        <v>633</v>
      </c>
      <c r="CJU77" t="s">
        <v>229</v>
      </c>
      <c r="CJV77" t="s">
        <v>633</v>
      </c>
      <c r="CJW77" t="s">
        <v>229</v>
      </c>
      <c r="CJX77" t="s">
        <v>633</v>
      </c>
      <c r="CJY77" t="s">
        <v>229</v>
      </c>
      <c r="CJZ77" t="s">
        <v>633</v>
      </c>
      <c r="CKA77" t="s">
        <v>229</v>
      </c>
      <c r="CKB77" t="s">
        <v>633</v>
      </c>
      <c r="CKC77" t="s">
        <v>229</v>
      </c>
      <c r="CKD77" t="s">
        <v>633</v>
      </c>
      <c r="CKE77" t="s">
        <v>229</v>
      </c>
      <c r="CKF77" t="s">
        <v>633</v>
      </c>
      <c r="CKG77" t="s">
        <v>229</v>
      </c>
      <c r="CKH77" t="s">
        <v>633</v>
      </c>
      <c r="CKI77" t="s">
        <v>229</v>
      </c>
      <c r="CKJ77" t="s">
        <v>633</v>
      </c>
      <c r="CKK77" t="s">
        <v>229</v>
      </c>
      <c r="CKL77" t="s">
        <v>633</v>
      </c>
      <c r="CKM77" t="s">
        <v>229</v>
      </c>
      <c r="CKN77" t="s">
        <v>633</v>
      </c>
      <c r="CKO77" t="s">
        <v>229</v>
      </c>
      <c r="CKP77" t="s">
        <v>633</v>
      </c>
      <c r="CKQ77" t="s">
        <v>229</v>
      </c>
      <c r="CKR77" t="s">
        <v>633</v>
      </c>
      <c r="CKS77" t="s">
        <v>229</v>
      </c>
      <c r="CKT77" t="s">
        <v>633</v>
      </c>
      <c r="CKU77" t="s">
        <v>229</v>
      </c>
      <c r="CKV77" t="s">
        <v>633</v>
      </c>
      <c r="CKW77" t="s">
        <v>229</v>
      </c>
      <c r="CKX77" t="s">
        <v>633</v>
      </c>
      <c r="CKY77" t="s">
        <v>229</v>
      </c>
      <c r="CKZ77" t="s">
        <v>633</v>
      </c>
      <c r="CLA77" t="s">
        <v>229</v>
      </c>
      <c r="CLB77" t="s">
        <v>633</v>
      </c>
      <c r="CLC77" t="s">
        <v>229</v>
      </c>
      <c r="CLD77" t="s">
        <v>633</v>
      </c>
      <c r="CLE77" t="s">
        <v>229</v>
      </c>
      <c r="CLF77" t="s">
        <v>633</v>
      </c>
      <c r="CLG77" t="s">
        <v>229</v>
      </c>
      <c r="CLH77" t="s">
        <v>633</v>
      </c>
      <c r="CLI77" t="s">
        <v>229</v>
      </c>
      <c r="CLJ77" t="s">
        <v>633</v>
      </c>
      <c r="CLK77" t="s">
        <v>229</v>
      </c>
      <c r="CLL77" t="s">
        <v>633</v>
      </c>
      <c r="CLM77" t="s">
        <v>229</v>
      </c>
      <c r="CLN77" t="s">
        <v>633</v>
      </c>
      <c r="CLO77" t="s">
        <v>229</v>
      </c>
      <c r="CLP77" t="s">
        <v>633</v>
      </c>
      <c r="CLQ77" t="s">
        <v>229</v>
      </c>
      <c r="CLR77" t="s">
        <v>633</v>
      </c>
      <c r="CLS77" t="s">
        <v>229</v>
      </c>
      <c r="CLT77" t="s">
        <v>633</v>
      </c>
      <c r="CLU77" t="s">
        <v>229</v>
      </c>
      <c r="CLV77" t="s">
        <v>633</v>
      </c>
      <c r="CLW77" t="s">
        <v>229</v>
      </c>
      <c r="CLX77" t="s">
        <v>633</v>
      </c>
      <c r="CLY77" t="s">
        <v>229</v>
      </c>
      <c r="CLZ77" t="s">
        <v>633</v>
      </c>
      <c r="CMA77" t="s">
        <v>229</v>
      </c>
      <c r="CMB77" t="s">
        <v>633</v>
      </c>
      <c r="CMC77" t="s">
        <v>229</v>
      </c>
      <c r="CMD77" t="s">
        <v>633</v>
      </c>
      <c r="CME77" t="s">
        <v>229</v>
      </c>
      <c r="CMF77" t="s">
        <v>633</v>
      </c>
      <c r="CMG77" t="s">
        <v>229</v>
      </c>
      <c r="CMH77" t="s">
        <v>633</v>
      </c>
      <c r="CMI77" t="s">
        <v>229</v>
      </c>
      <c r="CMJ77" t="s">
        <v>633</v>
      </c>
      <c r="CMK77" t="s">
        <v>229</v>
      </c>
      <c r="CML77" t="s">
        <v>633</v>
      </c>
      <c r="CMM77" t="s">
        <v>229</v>
      </c>
      <c r="CMN77" t="s">
        <v>633</v>
      </c>
      <c r="CMO77" t="s">
        <v>229</v>
      </c>
      <c r="CMP77" t="s">
        <v>633</v>
      </c>
      <c r="CMQ77" t="s">
        <v>229</v>
      </c>
      <c r="CMR77" t="s">
        <v>633</v>
      </c>
      <c r="CMS77" t="s">
        <v>229</v>
      </c>
      <c r="CMT77" t="s">
        <v>633</v>
      </c>
      <c r="CMU77" t="s">
        <v>229</v>
      </c>
      <c r="CMV77" t="s">
        <v>633</v>
      </c>
      <c r="CMW77" t="s">
        <v>229</v>
      </c>
      <c r="CMX77" t="s">
        <v>633</v>
      </c>
      <c r="CMY77" t="s">
        <v>229</v>
      </c>
      <c r="CMZ77" t="s">
        <v>633</v>
      </c>
      <c r="CNA77" t="s">
        <v>229</v>
      </c>
      <c r="CNB77" t="s">
        <v>633</v>
      </c>
      <c r="CNC77" t="s">
        <v>229</v>
      </c>
      <c r="CND77" t="s">
        <v>633</v>
      </c>
      <c r="CNE77" t="s">
        <v>229</v>
      </c>
      <c r="CNF77" t="s">
        <v>633</v>
      </c>
      <c r="CNG77" t="s">
        <v>229</v>
      </c>
      <c r="CNH77" t="s">
        <v>633</v>
      </c>
      <c r="CNI77" t="s">
        <v>229</v>
      </c>
      <c r="CNJ77" t="s">
        <v>633</v>
      </c>
      <c r="CNK77" t="s">
        <v>229</v>
      </c>
      <c r="CNL77" t="s">
        <v>633</v>
      </c>
      <c r="CNM77" t="s">
        <v>229</v>
      </c>
      <c r="CNN77" t="s">
        <v>633</v>
      </c>
      <c r="CNO77" t="s">
        <v>229</v>
      </c>
      <c r="CNP77" t="s">
        <v>633</v>
      </c>
      <c r="CNQ77" t="s">
        <v>229</v>
      </c>
      <c r="CNR77" t="s">
        <v>633</v>
      </c>
      <c r="CNS77" t="s">
        <v>229</v>
      </c>
      <c r="CNT77" t="s">
        <v>633</v>
      </c>
      <c r="CNU77" t="s">
        <v>229</v>
      </c>
      <c r="CNV77" t="s">
        <v>633</v>
      </c>
      <c r="CNW77" t="s">
        <v>229</v>
      </c>
      <c r="CNX77" t="s">
        <v>633</v>
      </c>
      <c r="CNY77" t="s">
        <v>229</v>
      </c>
      <c r="CNZ77" t="s">
        <v>633</v>
      </c>
      <c r="COA77" t="s">
        <v>229</v>
      </c>
      <c r="COB77" t="s">
        <v>633</v>
      </c>
      <c r="COC77" t="s">
        <v>229</v>
      </c>
      <c r="COD77" t="s">
        <v>633</v>
      </c>
      <c r="COE77" t="s">
        <v>229</v>
      </c>
      <c r="COF77" t="s">
        <v>633</v>
      </c>
      <c r="COG77" t="s">
        <v>229</v>
      </c>
      <c r="COH77" t="s">
        <v>633</v>
      </c>
      <c r="COI77" t="s">
        <v>229</v>
      </c>
      <c r="COJ77" t="s">
        <v>633</v>
      </c>
      <c r="COK77" t="s">
        <v>229</v>
      </c>
      <c r="COL77" t="s">
        <v>633</v>
      </c>
      <c r="COM77" t="s">
        <v>229</v>
      </c>
      <c r="CON77" t="s">
        <v>633</v>
      </c>
      <c r="COO77" t="s">
        <v>229</v>
      </c>
      <c r="COP77" t="s">
        <v>633</v>
      </c>
      <c r="COQ77" t="s">
        <v>229</v>
      </c>
      <c r="COR77" t="s">
        <v>633</v>
      </c>
      <c r="COS77" t="s">
        <v>229</v>
      </c>
      <c r="COT77" t="s">
        <v>633</v>
      </c>
      <c r="COU77" t="s">
        <v>229</v>
      </c>
      <c r="COV77" t="s">
        <v>633</v>
      </c>
      <c r="COW77" t="s">
        <v>229</v>
      </c>
      <c r="COX77" t="s">
        <v>633</v>
      </c>
      <c r="COY77" t="s">
        <v>229</v>
      </c>
      <c r="COZ77" t="s">
        <v>633</v>
      </c>
      <c r="CPA77" t="s">
        <v>229</v>
      </c>
      <c r="CPB77" t="s">
        <v>633</v>
      </c>
      <c r="CPC77" t="s">
        <v>229</v>
      </c>
      <c r="CPD77" t="s">
        <v>633</v>
      </c>
      <c r="CPE77" t="s">
        <v>229</v>
      </c>
      <c r="CPF77" t="s">
        <v>633</v>
      </c>
      <c r="CPG77" t="s">
        <v>229</v>
      </c>
      <c r="CPH77" t="s">
        <v>633</v>
      </c>
      <c r="CPI77" t="s">
        <v>229</v>
      </c>
      <c r="CPJ77" t="s">
        <v>633</v>
      </c>
      <c r="CPK77" t="s">
        <v>229</v>
      </c>
      <c r="CPL77" t="s">
        <v>633</v>
      </c>
      <c r="CPM77" t="s">
        <v>229</v>
      </c>
      <c r="CPN77" t="s">
        <v>633</v>
      </c>
      <c r="CPO77" t="s">
        <v>229</v>
      </c>
      <c r="CPP77" t="s">
        <v>633</v>
      </c>
      <c r="CPQ77" t="s">
        <v>229</v>
      </c>
      <c r="CPR77" t="s">
        <v>633</v>
      </c>
      <c r="CPS77" t="s">
        <v>229</v>
      </c>
      <c r="CPT77" t="s">
        <v>633</v>
      </c>
      <c r="CPU77" t="s">
        <v>229</v>
      </c>
      <c r="CPV77" t="s">
        <v>633</v>
      </c>
      <c r="CPW77" t="s">
        <v>229</v>
      </c>
      <c r="CPX77" t="s">
        <v>633</v>
      </c>
      <c r="CPY77" t="s">
        <v>229</v>
      </c>
      <c r="CPZ77" t="s">
        <v>633</v>
      </c>
      <c r="CQA77" t="s">
        <v>229</v>
      </c>
      <c r="CQB77" t="s">
        <v>633</v>
      </c>
      <c r="CQC77" t="s">
        <v>229</v>
      </c>
      <c r="CQD77" t="s">
        <v>633</v>
      </c>
      <c r="CQE77" t="s">
        <v>229</v>
      </c>
      <c r="CQF77" t="s">
        <v>633</v>
      </c>
      <c r="CQG77" t="s">
        <v>229</v>
      </c>
      <c r="CQH77" t="s">
        <v>633</v>
      </c>
      <c r="CQI77" t="s">
        <v>229</v>
      </c>
      <c r="CQJ77" t="s">
        <v>633</v>
      </c>
      <c r="CQK77" t="s">
        <v>229</v>
      </c>
      <c r="CQL77" t="s">
        <v>633</v>
      </c>
      <c r="CQM77" t="s">
        <v>229</v>
      </c>
      <c r="CQN77" t="s">
        <v>633</v>
      </c>
      <c r="CQO77" t="s">
        <v>229</v>
      </c>
      <c r="CQP77" t="s">
        <v>633</v>
      </c>
      <c r="CQQ77" t="s">
        <v>229</v>
      </c>
      <c r="CQR77" t="s">
        <v>633</v>
      </c>
      <c r="CQS77" t="s">
        <v>229</v>
      </c>
      <c r="CQT77" t="s">
        <v>633</v>
      </c>
      <c r="CQU77" t="s">
        <v>229</v>
      </c>
      <c r="CQV77" t="s">
        <v>633</v>
      </c>
      <c r="CQW77" t="s">
        <v>229</v>
      </c>
      <c r="CQX77" t="s">
        <v>633</v>
      </c>
      <c r="CQY77" t="s">
        <v>229</v>
      </c>
      <c r="CQZ77" t="s">
        <v>633</v>
      </c>
      <c r="CRA77" t="s">
        <v>229</v>
      </c>
      <c r="CRB77" t="s">
        <v>633</v>
      </c>
      <c r="CRC77" t="s">
        <v>229</v>
      </c>
      <c r="CRD77" t="s">
        <v>633</v>
      </c>
      <c r="CRE77" t="s">
        <v>229</v>
      </c>
      <c r="CRF77" t="s">
        <v>633</v>
      </c>
      <c r="CRG77" t="s">
        <v>229</v>
      </c>
      <c r="CRH77" t="s">
        <v>633</v>
      </c>
      <c r="CRI77" t="s">
        <v>229</v>
      </c>
      <c r="CRJ77" t="s">
        <v>633</v>
      </c>
      <c r="CRK77" t="s">
        <v>229</v>
      </c>
      <c r="CRL77" t="s">
        <v>633</v>
      </c>
      <c r="CRM77" t="s">
        <v>229</v>
      </c>
      <c r="CRN77" t="s">
        <v>633</v>
      </c>
      <c r="CRO77" t="s">
        <v>229</v>
      </c>
      <c r="CRP77" t="s">
        <v>633</v>
      </c>
      <c r="CRQ77" t="s">
        <v>229</v>
      </c>
      <c r="CRR77" t="s">
        <v>633</v>
      </c>
      <c r="CRS77" t="s">
        <v>229</v>
      </c>
      <c r="CRT77" t="s">
        <v>633</v>
      </c>
      <c r="CRU77" t="s">
        <v>229</v>
      </c>
      <c r="CRV77" t="s">
        <v>633</v>
      </c>
      <c r="CRW77" t="s">
        <v>229</v>
      </c>
      <c r="CRX77" t="s">
        <v>633</v>
      </c>
      <c r="CRY77" t="s">
        <v>229</v>
      </c>
      <c r="CRZ77" t="s">
        <v>633</v>
      </c>
      <c r="CSA77" t="s">
        <v>229</v>
      </c>
      <c r="CSB77" t="s">
        <v>633</v>
      </c>
      <c r="CSC77" t="s">
        <v>229</v>
      </c>
      <c r="CSD77" t="s">
        <v>633</v>
      </c>
      <c r="CSE77" t="s">
        <v>229</v>
      </c>
      <c r="CSF77" t="s">
        <v>633</v>
      </c>
      <c r="CSG77" t="s">
        <v>229</v>
      </c>
      <c r="CSH77" t="s">
        <v>633</v>
      </c>
      <c r="CSI77" t="s">
        <v>229</v>
      </c>
      <c r="CSJ77" t="s">
        <v>633</v>
      </c>
      <c r="CSK77" t="s">
        <v>229</v>
      </c>
      <c r="CSL77" t="s">
        <v>633</v>
      </c>
      <c r="CSM77" t="s">
        <v>229</v>
      </c>
      <c r="CSN77" t="s">
        <v>633</v>
      </c>
      <c r="CSO77" t="s">
        <v>229</v>
      </c>
      <c r="CSP77" t="s">
        <v>633</v>
      </c>
      <c r="CSQ77" t="s">
        <v>229</v>
      </c>
      <c r="CSR77" t="s">
        <v>633</v>
      </c>
      <c r="CSS77" t="s">
        <v>229</v>
      </c>
      <c r="CST77" t="s">
        <v>633</v>
      </c>
      <c r="CSU77" t="s">
        <v>229</v>
      </c>
      <c r="CSV77" t="s">
        <v>633</v>
      </c>
      <c r="CSW77" t="s">
        <v>229</v>
      </c>
      <c r="CSX77" t="s">
        <v>633</v>
      </c>
      <c r="CSY77" t="s">
        <v>229</v>
      </c>
      <c r="CSZ77" t="s">
        <v>633</v>
      </c>
      <c r="CTA77" t="s">
        <v>229</v>
      </c>
      <c r="CTB77" t="s">
        <v>633</v>
      </c>
      <c r="CTC77" t="s">
        <v>229</v>
      </c>
      <c r="CTD77" t="s">
        <v>633</v>
      </c>
      <c r="CTE77" t="s">
        <v>229</v>
      </c>
      <c r="CTF77" t="s">
        <v>633</v>
      </c>
      <c r="CTG77" t="s">
        <v>229</v>
      </c>
      <c r="CTH77" t="s">
        <v>633</v>
      </c>
      <c r="CTI77" t="s">
        <v>229</v>
      </c>
      <c r="CTJ77" t="s">
        <v>633</v>
      </c>
      <c r="CTK77" t="s">
        <v>229</v>
      </c>
      <c r="CTL77" t="s">
        <v>633</v>
      </c>
      <c r="CTM77" t="s">
        <v>229</v>
      </c>
      <c r="CTN77" t="s">
        <v>633</v>
      </c>
      <c r="CTO77" t="s">
        <v>229</v>
      </c>
      <c r="CTP77" t="s">
        <v>633</v>
      </c>
      <c r="CTQ77" t="s">
        <v>229</v>
      </c>
      <c r="CTR77" t="s">
        <v>633</v>
      </c>
      <c r="CTS77" t="s">
        <v>229</v>
      </c>
      <c r="CTT77" t="s">
        <v>633</v>
      </c>
      <c r="CTU77" t="s">
        <v>229</v>
      </c>
      <c r="CTV77" t="s">
        <v>633</v>
      </c>
      <c r="CTW77" t="s">
        <v>229</v>
      </c>
      <c r="CTX77" t="s">
        <v>633</v>
      </c>
      <c r="CTY77" t="s">
        <v>229</v>
      </c>
      <c r="CTZ77" t="s">
        <v>633</v>
      </c>
      <c r="CUA77" t="s">
        <v>229</v>
      </c>
      <c r="CUB77" t="s">
        <v>633</v>
      </c>
      <c r="CUC77" t="s">
        <v>229</v>
      </c>
      <c r="CUD77" t="s">
        <v>633</v>
      </c>
      <c r="CUE77" t="s">
        <v>229</v>
      </c>
      <c r="CUF77" t="s">
        <v>633</v>
      </c>
      <c r="CUG77" t="s">
        <v>229</v>
      </c>
      <c r="CUH77" t="s">
        <v>633</v>
      </c>
      <c r="CUI77" t="s">
        <v>229</v>
      </c>
      <c r="CUJ77" t="s">
        <v>633</v>
      </c>
      <c r="CUK77" t="s">
        <v>229</v>
      </c>
      <c r="CUL77" t="s">
        <v>633</v>
      </c>
      <c r="CUM77" t="s">
        <v>229</v>
      </c>
      <c r="CUN77" t="s">
        <v>633</v>
      </c>
      <c r="CUO77" t="s">
        <v>229</v>
      </c>
      <c r="CUP77" t="s">
        <v>633</v>
      </c>
      <c r="CUQ77" t="s">
        <v>229</v>
      </c>
      <c r="CUR77" t="s">
        <v>633</v>
      </c>
      <c r="CUS77" t="s">
        <v>229</v>
      </c>
      <c r="CUT77" t="s">
        <v>633</v>
      </c>
      <c r="CUU77" t="s">
        <v>229</v>
      </c>
      <c r="CUV77" t="s">
        <v>633</v>
      </c>
      <c r="CUW77" t="s">
        <v>229</v>
      </c>
      <c r="CUX77" t="s">
        <v>633</v>
      </c>
      <c r="CUY77" t="s">
        <v>229</v>
      </c>
      <c r="CUZ77" t="s">
        <v>633</v>
      </c>
      <c r="CVA77" t="s">
        <v>229</v>
      </c>
      <c r="CVB77" t="s">
        <v>633</v>
      </c>
      <c r="CVC77" t="s">
        <v>229</v>
      </c>
      <c r="CVD77" t="s">
        <v>633</v>
      </c>
      <c r="CVE77" t="s">
        <v>229</v>
      </c>
      <c r="CVF77" t="s">
        <v>633</v>
      </c>
      <c r="CVG77" t="s">
        <v>229</v>
      </c>
      <c r="CVH77" t="s">
        <v>633</v>
      </c>
      <c r="CVI77" t="s">
        <v>229</v>
      </c>
      <c r="CVJ77" t="s">
        <v>633</v>
      </c>
      <c r="CVK77" t="s">
        <v>229</v>
      </c>
      <c r="CVL77" t="s">
        <v>633</v>
      </c>
      <c r="CVM77" t="s">
        <v>229</v>
      </c>
      <c r="CVN77" t="s">
        <v>633</v>
      </c>
      <c r="CVO77" t="s">
        <v>229</v>
      </c>
      <c r="CVP77" t="s">
        <v>633</v>
      </c>
      <c r="CVQ77" t="s">
        <v>229</v>
      </c>
      <c r="CVR77" t="s">
        <v>633</v>
      </c>
      <c r="CVS77" t="s">
        <v>229</v>
      </c>
      <c r="CVT77" t="s">
        <v>633</v>
      </c>
      <c r="CVU77" t="s">
        <v>229</v>
      </c>
      <c r="CVV77" t="s">
        <v>633</v>
      </c>
      <c r="CVW77" t="s">
        <v>229</v>
      </c>
      <c r="CVX77" t="s">
        <v>633</v>
      </c>
      <c r="CVY77" t="s">
        <v>229</v>
      </c>
      <c r="CVZ77" t="s">
        <v>633</v>
      </c>
      <c r="CWA77" t="s">
        <v>229</v>
      </c>
      <c r="CWB77" t="s">
        <v>633</v>
      </c>
      <c r="CWC77" t="s">
        <v>229</v>
      </c>
      <c r="CWD77" t="s">
        <v>633</v>
      </c>
      <c r="CWE77" t="s">
        <v>229</v>
      </c>
      <c r="CWF77" t="s">
        <v>633</v>
      </c>
      <c r="CWG77" t="s">
        <v>229</v>
      </c>
      <c r="CWH77" t="s">
        <v>633</v>
      </c>
      <c r="CWI77" t="s">
        <v>229</v>
      </c>
      <c r="CWJ77" t="s">
        <v>633</v>
      </c>
      <c r="CWK77" t="s">
        <v>229</v>
      </c>
      <c r="CWL77" t="s">
        <v>633</v>
      </c>
      <c r="CWM77" t="s">
        <v>229</v>
      </c>
      <c r="CWN77" t="s">
        <v>633</v>
      </c>
      <c r="CWO77" t="s">
        <v>229</v>
      </c>
      <c r="CWP77" t="s">
        <v>633</v>
      </c>
      <c r="CWQ77" t="s">
        <v>229</v>
      </c>
      <c r="CWR77" t="s">
        <v>633</v>
      </c>
      <c r="CWS77" t="s">
        <v>229</v>
      </c>
      <c r="CWT77" t="s">
        <v>633</v>
      </c>
      <c r="CWU77" t="s">
        <v>229</v>
      </c>
      <c r="CWV77" t="s">
        <v>633</v>
      </c>
      <c r="CWW77" t="s">
        <v>229</v>
      </c>
      <c r="CWX77" t="s">
        <v>633</v>
      </c>
      <c r="CWY77" t="s">
        <v>229</v>
      </c>
      <c r="CWZ77" t="s">
        <v>633</v>
      </c>
      <c r="CXA77" t="s">
        <v>229</v>
      </c>
      <c r="CXB77" t="s">
        <v>633</v>
      </c>
      <c r="CXC77" t="s">
        <v>229</v>
      </c>
      <c r="CXD77" t="s">
        <v>633</v>
      </c>
      <c r="CXE77" t="s">
        <v>229</v>
      </c>
      <c r="CXF77" t="s">
        <v>633</v>
      </c>
      <c r="CXG77" t="s">
        <v>229</v>
      </c>
      <c r="CXH77" t="s">
        <v>633</v>
      </c>
      <c r="CXI77" t="s">
        <v>229</v>
      </c>
      <c r="CXJ77" t="s">
        <v>633</v>
      </c>
      <c r="CXK77" t="s">
        <v>229</v>
      </c>
      <c r="CXL77" t="s">
        <v>633</v>
      </c>
      <c r="CXM77" t="s">
        <v>229</v>
      </c>
      <c r="CXN77" t="s">
        <v>633</v>
      </c>
      <c r="CXO77" t="s">
        <v>229</v>
      </c>
      <c r="CXP77" t="s">
        <v>633</v>
      </c>
      <c r="CXQ77" t="s">
        <v>229</v>
      </c>
      <c r="CXR77" t="s">
        <v>633</v>
      </c>
      <c r="CXS77" t="s">
        <v>229</v>
      </c>
      <c r="CXT77" t="s">
        <v>633</v>
      </c>
      <c r="CXU77" t="s">
        <v>229</v>
      </c>
      <c r="CXV77" t="s">
        <v>633</v>
      </c>
      <c r="CXW77" t="s">
        <v>229</v>
      </c>
      <c r="CXX77" t="s">
        <v>633</v>
      </c>
      <c r="CXY77" t="s">
        <v>229</v>
      </c>
      <c r="CXZ77" t="s">
        <v>633</v>
      </c>
      <c r="CYA77" t="s">
        <v>229</v>
      </c>
      <c r="CYB77" t="s">
        <v>633</v>
      </c>
      <c r="CYC77" t="s">
        <v>229</v>
      </c>
      <c r="CYD77" t="s">
        <v>633</v>
      </c>
      <c r="CYE77" t="s">
        <v>229</v>
      </c>
      <c r="CYF77" t="s">
        <v>633</v>
      </c>
      <c r="CYG77" t="s">
        <v>229</v>
      </c>
      <c r="CYH77" t="s">
        <v>633</v>
      </c>
      <c r="CYI77" t="s">
        <v>229</v>
      </c>
      <c r="CYJ77" t="s">
        <v>633</v>
      </c>
      <c r="CYK77" t="s">
        <v>229</v>
      </c>
      <c r="CYL77" t="s">
        <v>633</v>
      </c>
      <c r="CYM77" t="s">
        <v>229</v>
      </c>
      <c r="CYN77" t="s">
        <v>633</v>
      </c>
      <c r="CYO77" t="s">
        <v>229</v>
      </c>
      <c r="CYP77" t="s">
        <v>633</v>
      </c>
      <c r="CYQ77" t="s">
        <v>229</v>
      </c>
      <c r="CYR77" t="s">
        <v>633</v>
      </c>
      <c r="CYS77" t="s">
        <v>229</v>
      </c>
      <c r="CYT77" t="s">
        <v>633</v>
      </c>
      <c r="CYU77" t="s">
        <v>229</v>
      </c>
      <c r="CYV77" t="s">
        <v>633</v>
      </c>
      <c r="CYW77" t="s">
        <v>229</v>
      </c>
      <c r="CYX77" t="s">
        <v>633</v>
      </c>
      <c r="CYY77" t="s">
        <v>229</v>
      </c>
      <c r="CYZ77" t="s">
        <v>633</v>
      </c>
      <c r="CZA77" t="s">
        <v>229</v>
      </c>
      <c r="CZB77" t="s">
        <v>633</v>
      </c>
      <c r="CZC77" t="s">
        <v>229</v>
      </c>
      <c r="CZD77" t="s">
        <v>633</v>
      </c>
      <c r="CZE77" t="s">
        <v>229</v>
      </c>
      <c r="CZF77" t="s">
        <v>633</v>
      </c>
      <c r="CZG77" t="s">
        <v>229</v>
      </c>
      <c r="CZH77" t="s">
        <v>633</v>
      </c>
      <c r="CZI77" t="s">
        <v>229</v>
      </c>
      <c r="CZJ77" t="s">
        <v>633</v>
      </c>
      <c r="CZK77" t="s">
        <v>229</v>
      </c>
      <c r="CZL77" t="s">
        <v>633</v>
      </c>
      <c r="CZM77" t="s">
        <v>229</v>
      </c>
      <c r="CZN77" t="s">
        <v>633</v>
      </c>
      <c r="CZO77" t="s">
        <v>229</v>
      </c>
      <c r="CZP77" t="s">
        <v>633</v>
      </c>
      <c r="CZQ77" t="s">
        <v>229</v>
      </c>
      <c r="CZR77" t="s">
        <v>633</v>
      </c>
      <c r="CZS77" t="s">
        <v>229</v>
      </c>
      <c r="CZT77" t="s">
        <v>633</v>
      </c>
      <c r="CZU77" t="s">
        <v>229</v>
      </c>
      <c r="CZV77" t="s">
        <v>633</v>
      </c>
      <c r="CZW77" t="s">
        <v>229</v>
      </c>
      <c r="CZX77" t="s">
        <v>633</v>
      </c>
      <c r="CZY77" t="s">
        <v>229</v>
      </c>
      <c r="CZZ77" t="s">
        <v>633</v>
      </c>
      <c r="DAA77" t="s">
        <v>229</v>
      </c>
      <c r="DAB77" t="s">
        <v>633</v>
      </c>
      <c r="DAC77" t="s">
        <v>229</v>
      </c>
      <c r="DAD77" t="s">
        <v>633</v>
      </c>
      <c r="DAE77" t="s">
        <v>229</v>
      </c>
      <c r="DAF77" t="s">
        <v>633</v>
      </c>
      <c r="DAG77" t="s">
        <v>229</v>
      </c>
      <c r="DAH77" t="s">
        <v>633</v>
      </c>
      <c r="DAI77" t="s">
        <v>229</v>
      </c>
      <c r="DAJ77" t="s">
        <v>633</v>
      </c>
      <c r="DAK77" t="s">
        <v>229</v>
      </c>
      <c r="DAL77" t="s">
        <v>633</v>
      </c>
      <c r="DAM77" t="s">
        <v>229</v>
      </c>
      <c r="DAN77" t="s">
        <v>633</v>
      </c>
      <c r="DAO77" t="s">
        <v>229</v>
      </c>
      <c r="DAP77" t="s">
        <v>633</v>
      </c>
      <c r="DAQ77" t="s">
        <v>229</v>
      </c>
      <c r="DAR77" t="s">
        <v>633</v>
      </c>
      <c r="DAS77" t="s">
        <v>229</v>
      </c>
      <c r="DAT77" t="s">
        <v>633</v>
      </c>
      <c r="DAU77" t="s">
        <v>229</v>
      </c>
      <c r="DAV77" t="s">
        <v>633</v>
      </c>
      <c r="DAW77" t="s">
        <v>229</v>
      </c>
      <c r="DAX77" t="s">
        <v>633</v>
      </c>
      <c r="DAY77" t="s">
        <v>229</v>
      </c>
      <c r="DAZ77" t="s">
        <v>633</v>
      </c>
      <c r="DBA77" t="s">
        <v>229</v>
      </c>
      <c r="DBB77" t="s">
        <v>633</v>
      </c>
      <c r="DBC77" t="s">
        <v>229</v>
      </c>
      <c r="DBD77" t="s">
        <v>633</v>
      </c>
      <c r="DBE77" t="s">
        <v>229</v>
      </c>
      <c r="DBF77" t="s">
        <v>633</v>
      </c>
      <c r="DBG77" t="s">
        <v>229</v>
      </c>
      <c r="DBH77" t="s">
        <v>633</v>
      </c>
      <c r="DBI77" t="s">
        <v>229</v>
      </c>
      <c r="DBJ77" t="s">
        <v>633</v>
      </c>
      <c r="DBK77" t="s">
        <v>229</v>
      </c>
      <c r="DBL77" t="s">
        <v>633</v>
      </c>
      <c r="DBM77" t="s">
        <v>229</v>
      </c>
      <c r="DBN77" t="s">
        <v>633</v>
      </c>
      <c r="DBO77" t="s">
        <v>229</v>
      </c>
      <c r="DBP77" t="s">
        <v>633</v>
      </c>
      <c r="DBQ77" t="s">
        <v>229</v>
      </c>
      <c r="DBR77" t="s">
        <v>633</v>
      </c>
      <c r="DBS77" t="s">
        <v>229</v>
      </c>
      <c r="DBT77" t="s">
        <v>633</v>
      </c>
      <c r="DBU77" t="s">
        <v>229</v>
      </c>
      <c r="DBV77" t="s">
        <v>633</v>
      </c>
      <c r="DBW77" t="s">
        <v>229</v>
      </c>
      <c r="DBX77" t="s">
        <v>633</v>
      </c>
      <c r="DBY77" t="s">
        <v>229</v>
      </c>
      <c r="DBZ77" t="s">
        <v>633</v>
      </c>
      <c r="DCA77" t="s">
        <v>229</v>
      </c>
      <c r="DCB77" t="s">
        <v>633</v>
      </c>
      <c r="DCC77" t="s">
        <v>229</v>
      </c>
      <c r="DCD77" t="s">
        <v>633</v>
      </c>
      <c r="DCE77" t="s">
        <v>229</v>
      </c>
      <c r="DCF77" t="s">
        <v>633</v>
      </c>
      <c r="DCG77" t="s">
        <v>229</v>
      </c>
      <c r="DCH77" t="s">
        <v>633</v>
      </c>
      <c r="DCI77" t="s">
        <v>229</v>
      </c>
      <c r="DCJ77" t="s">
        <v>633</v>
      </c>
      <c r="DCK77" t="s">
        <v>229</v>
      </c>
      <c r="DCL77" t="s">
        <v>633</v>
      </c>
      <c r="DCM77" t="s">
        <v>229</v>
      </c>
      <c r="DCN77" t="s">
        <v>633</v>
      </c>
      <c r="DCO77" t="s">
        <v>229</v>
      </c>
      <c r="DCP77" t="s">
        <v>633</v>
      </c>
      <c r="DCQ77" t="s">
        <v>229</v>
      </c>
      <c r="DCR77" t="s">
        <v>633</v>
      </c>
      <c r="DCS77" t="s">
        <v>229</v>
      </c>
      <c r="DCT77" t="s">
        <v>633</v>
      </c>
      <c r="DCU77" t="s">
        <v>229</v>
      </c>
      <c r="DCV77" t="s">
        <v>633</v>
      </c>
      <c r="DCW77" t="s">
        <v>229</v>
      </c>
      <c r="DCX77" t="s">
        <v>633</v>
      </c>
      <c r="DCY77" t="s">
        <v>229</v>
      </c>
      <c r="DCZ77" t="s">
        <v>633</v>
      </c>
      <c r="DDA77" t="s">
        <v>229</v>
      </c>
      <c r="DDB77" t="s">
        <v>633</v>
      </c>
      <c r="DDC77" t="s">
        <v>229</v>
      </c>
      <c r="DDD77" t="s">
        <v>633</v>
      </c>
      <c r="DDE77" t="s">
        <v>229</v>
      </c>
      <c r="DDF77" t="s">
        <v>633</v>
      </c>
      <c r="DDG77" t="s">
        <v>229</v>
      </c>
      <c r="DDH77" t="s">
        <v>633</v>
      </c>
      <c r="DDI77" t="s">
        <v>229</v>
      </c>
      <c r="DDJ77" t="s">
        <v>633</v>
      </c>
      <c r="DDK77" t="s">
        <v>229</v>
      </c>
      <c r="DDL77" t="s">
        <v>633</v>
      </c>
      <c r="DDM77" t="s">
        <v>229</v>
      </c>
      <c r="DDN77" t="s">
        <v>633</v>
      </c>
      <c r="DDO77" t="s">
        <v>229</v>
      </c>
      <c r="DDP77" t="s">
        <v>633</v>
      </c>
      <c r="DDQ77" t="s">
        <v>229</v>
      </c>
      <c r="DDR77" t="s">
        <v>633</v>
      </c>
      <c r="DDS77" t="s">
        <v>229</v>
      </c>
      <c r="DDT77" t="s">
        <v>633</v>
      </c>
      <c r="DDU77" t="s">
        <v>229</v>
      </c>
      <c r="DDV77" t="s">
        <v>633</v>
      </c>
      <c r="DDW77" t="s">
        <v>229</v>
      </c>
      <c r="DDX77" t="s">
        <v>633</v>
      </c>
      <c r="DDY77" t="s">
        <v>229</v>
      </c>
      <c r="DDZ77" t="s">
        <v>633</v>
      </c>
      <c r="DEA77" t="s">
        <v>229</v>
      </c>
      <c r="DEB77" t="s">
        <v>633</v>
      </c>
      <c r="DEC77" t="s">
        <v>229</v>
      </c>
      <c r="DED77" t="s">
        <v>633</v>
      </c>
      <c r="DEE77" t="s">
        <v>229</v>
      </c>
      <c r="DEF77" t="s">
        <v>633</v>
      </c>
      <c r="DEG77" t="s">
        <v>229</v>
      </c>
      <c r="DEH77" t="s">
        <v>633</v>
      </c>
      <c r="DEI77" t="s">
        <v>229</v>
      </c>
      <c r="DEJ77" t="s">
        <v>633</v>
      </c>
      <c r="DEK77" t="s">
        <v>229</v>
      </c>
      <c r="DEL77" t="s">
        <v>633</v>
      </c>
      <c r="DEM77" t="s">
        <v>229</v>
      </c>
      <c r="DEN77" t="s">
        <v>633</v>
      </c>
      <c r="DEO77" t="s">
        <v>229</v>
      </c>
      <c r="DEP77" t="s">
        <v>633</v>
      </c>
      <c r="DEQ77" t="s">
        <v>229</v>
      </c>
      <c r="DER77" t="s">
        <v>633</v>
      </c>
      <c r="DES77" t="s">
        <v>229</v>
      </c>
      <c r="DET77" t="s">
        <v>633</v>
      </c>
      <c r="DEU77" t="s">
        <v>229</v>
      </c>
      <c r="DEV77" t="s">
        <v>633</v>
      </c>
      <c r="DEW77" t="s">
        <v>229</v>
      </c>
      <c r="DEX77" t="s">
        <v>633</v>
      </c>
      <c r="DEY77" t="s">
        <v>229</v>
      </c>
      <c r="DEZ77" t="s">
        <v>633</v>
      </c>
      <c r="DFA77" t="s">
        <v>229</v>
      </c>
      <c r="DFB77" t="s">
        <v>633</v>
      </c>
      <c r="DFC77" t="s">
        <v>229</v>
      </c>
      <c r="DFD77" t="s">
        <v>633</v>
      </c>
      <c r="DFE77" t="s">
        <v>229</v>
      </c>
      <c r="DFF77" t="s">
        <v>633</v>
      </c>
      <c r="DFG77" t="s">
        <v>229</v>
      </c>
      <c r="DFH77" t="s">
        <v>633</v>
      </c>
      <c r="DFI77" t="s">
        <v>229</v>
      </c>
      <c r="DFJ77" t="s">
        <v>633</v>
      </c>
      <c r="DFK77" t="s">
        <v>229</v>
      </c>
      <c r="DFL77" t="s">
        <v>633</v>
      </c>
      <c r="DFM77" t="s">
        <v>229</v>
      </c>
      <c r="DFN77" t="s">
        <v>633</v>
      </c>
      <c r="DFO77" t="s">
        <v>229</v>
      </c>
      <c r="DFP77" t="s">
        <v>633</v>
      </c>
      <c r="DFQ77" t="s">
        <v>229</v>
      </c>
      <c r="DFR77" t="s">
        <v>633</v>
      </c>
      <c r="DFS77" t="s">
        <v>229</v>
      </c>
      <c r="DFT77" t="s">
        <v>633</v>
      </c>
      <c r="DFU77" t="s">
        <v>229</v>
      </c>
      <c r="DFV77" t="s">
        <v>633</v>
      </c>
      <c r="DFW77" t="s">
        <v>229</v>
      </c>
      <c r="DFX77" t="s">
        <v>633</v>
      </c>
      <c r="DFY77" t="s">
        <v>229</v>
      </c>
      <c r="DFZ77" t="s">
        <v>633</v>
      </c>
      <c r="DGA77" t="s">
        <v>229</v>
      </c>
      <c r="DGB77" t="s">
        <v>633</v>
      </c>
      <c r="DGC77" t="s">
        <v>229</v>
      </c>
      <c r="DGD77" t="s">
        <v>633</v>
      </c>
      <c r="DGE77" t="s">
        <v>229</v>
      </c>
      <c r="DGF77" t="s">
        <v>633</v>
      </c>
      <c r="DGG77" t="s">
        <v>229</v>
      </c>
      <c r="DGH77" t="s">
        <v>633</v>
      </c>
      <c r="DGI77" t="s">
        <v>229</v>
      </c>
      <c r="DGJ77" t="s">
        <v>633</v>
      </c>
      <c r="DGK77" t="s">
        <v>229</v>
      </c>
      <c r="DGL77" t="s">
        <v>633</v>
      </c>
      <c r="DGM77" t="s">
        <v>229</v>
      </c>
      <c r="DGN77" t="s">
        <v>633</v>
      </c>
      <c r="DGO77" t="s">
        <v>229</v>
      </c>
      <c r="DGP77" t="s">
        <v>633</v>
      </c>
      <c r="DGQ77" t="s">
        <v>229</v>
      </c>
      <c r="DGR77" t="s">
        <v>633</v>
      </c>
      <c r="DGS77" t="s">
        <v>229</v>
      </c>
      <c r="DGT77" t="s">
        <v>633</v>
      </c>
      <c r="DGU77" t="s">
        <v>229</v>
      </c>
      <c r="DGV77" t="s">
        <v>633</v>
      </c>
      <c r="DGW77" t="s">
        <v>229</v>
      </c>
      <c r="DGX77" t="s">
        <v>633</v>
      </c>
      <c r="DGY77" t="s">
        <v>229</v>
      </c>
      <c r="DGZ77" t="s">
        <v>633</v>
      </c>
      <c r="DHA77" t="s">
        <v>229</v>
      </c>
      <c r="DHB77" t="s">
        <v>633</v>
      </c>
      <c r="DHC77" t="s">
        <v>229</v>
      </c>
      <c r="DHD77" t="s">
        <v>633</v>
      </c>
      <c r="DHE77" t="s">
        <v>229</v>
      </c>
      <c r="DHF77" t="s">
        <v>633</v>
      </c>
      <c r="DHG77" t="s">
        <v>229</v>
      </c>
      <c r="DHH77" t="s">
        <v>633</v>
      </c>
      <c r="DHI77" t="s">
        <v>229</v>
      </c>
      <c r="DHJ77" t="s">
        <v>633</v>
      </c>
      <c r="DHK77" t="s">
        <v>229</v>
      </c>
      <c r="DHL77" t="s">
        <v>633</v>
      </c>
      <c r="DHM77" t="s">
        <v>229</v>
      </c>
      <c r="DHN77" t="s">
        <v>633</v>
      </c>
      <c r="DHO77" t="s">
        <v>229</v>
      </c>
      <c r="DHP77" t="s">
        <v>633</v>
      </c>
      <c r="DHQ77" t="s">
        <v>229</v>
      </c>
      <c r="DHR77" t="s">
        <v>633</v>
      </c>
      <c r="DHS77" t="s">
        <v>229</v>
      </c>
      <c r="DHT77" t="s">
        <v>633</v>
      </c>
      <c r="DHU77" t="s">
        <v>229</v>
      </c>
      <c r="DHV77" t="s">
        <v>633</v>
      </c>
      <c r="DHW77" t="s">
        <v>229</v>
      </c>
      <c r="DHX77" t="s">
        <v>633</v>
      </c>
      <c r="DHY77" t="s">
        <v>229</v>
      </c>
      <c r="DHZ77" t="s">
        <v>633</v>
      </c>
      <c r="DIA77" t="s">
        <v>229</v>
      </c>
      <c r="DIB77" t="s">
        <v>633</v>
      </c>
      <c r="DIC77" t="s">
        <v>229</v>
      </c>
      <c r="DID77" t="s">
        <v>633</v>
      </c>
      <c r="DIE77" t="s">
        <v>229</v>
      </c>
      <c r="DIF77" t="s">
        <v>633</v>
      </c>
      <c r="DIG77" t="s">
        <v>229</v>
      </c>
      <c r="DIH77" t="s">
        <v>633</v>
      </c>
      <c r="DII77" t="s">
        <v>229</v>
      </c>
      <c r="DIJ77" t="s">
        <v>633</v>
      </c>
      <c r="DIK77" t="s">
        <v>229</v>
      </c>
      <c r="DIL77" t="s">
        <v>633</v>
      </c>
      <c r="DIM77" t="s">
        <v>229</v>
      </c>
      <c r="DIN77" t="s">
        <v>633</v>
      </c>
      <c r="DIO77" t="s">
        <v>229</v>
      </c>
      <c r="DIP77" t="s">
        <v>633</v>
      </c>
      <c r="DIQ77" t="s">
        <v>229</v>
      </c>
      <c r="DIR77" t="s">
        <v>633</v>
      </c>
      <c r="DIS77" t="s">
        <v>229</v>
      </c>
      <c r="DIT77" t="s">
        <v>633</v>
      </c>
      <c r="DIU77" t="s">
        <v>229</v>
      </c>
      <c r="DIV77" t="s">
        <v>633</v>
      </c>
      <c r="DIW77" t="s">
        <v>229</v>
      </c>
      <c r="DIX77" t="s">
        <v>633</v>
      </c>
      <c r="DIY77" t="s">
        <v>229</v>
      </c>
      <c r="DIZ77" t="s">
        <v>633</v>
      </c>
      <c r="DJA77" t="s">
        <v>229</v>
      </c>
      <c r="DJB77" t="s">
        <v>633</v>
      </c>
      <c r="DJC77" t="s">
        <v>229</v>
      </c>
      <c r="DJD77" t="s">
        <v>633</v>
      </c>
      <c r="DJE77" t="s">
        <v>229</v>
      </c>
      <c r="DJF77" t="s">
        <v>633</v>
      </c>
      <c r="DJG77" t="s">
        <v>229</v>
      </c>
      <c r="DJH77" t="s">
        <v>633</v>
      </c>
      <c r="DJI77" t="s">
        <v>229</v>
      </c>
      <c r="DJJ77" t="s">
        <v>633</v>
      </c>
      <c r="DJK77" t="s">
        <v>229</v>
      </c>
      <c r="DJL77" t="s">
        <v>633</v>
      </c>
      <c r="DJM77" t="s">
        <v>229</v>
      </c>
      <c r="DJN77" t="s">
        <v>633</v>
      </c>
      <c r="DJO77" t="s">
        <v>229</v>
      </c>
      <c r="DJP77" t="s">
        <v>633</v>
      </c>
      <c r="DJQ77" t="s">
        <v>229</v>
      </c>
      <c r="DJR77" t="s">
        <v>633</v>
      </c>
      <c r="DJS77" t="s">
        <v>229</v>
      </c>
      <c r="DJT77" t="s">
        <v>633</v>
      </c>
      <c r="DJU77" t="s">
        <v>229</v>
      </c>
      <c r="DJV77" t="s">
        <v>633</v>
      </c>
      <c r="DJW77" t="s">
        <v>229</v>
      </c>
      <c r="DJX77" t="s">
        <v>633</v>
      </c>
      <c r="DJY77" t="s">
        <v>229</v>
      </c>
      <c r="DJZ77" t="s">
        <v>633</v>
      </c>
      <c r="DKA77" t="s">
        <v>229</v>
      </c>
      <c r="DKB77" t="s">
        <v>633</v>
      </c>
      <c r="DKC77" t="s">
        <v>229</v>
      </c>
      <c r="DKD77" t="s">
        <v>633</v>
      </c>
      <c r="DKE77" t="s">
        <v>229</v>
      </c>
      <c r="DKF77" t="s">
        <v>633</v>
      </c>
      <c r="DKG77" t="s">
        <v>229</v>
      </c>
      <c r="DKH77" t="s">
        <v>633</v>
      </c>
      <c r="DKI77" t="s">
        <v>229</v>
      </c>
      <c r="DKJ77" t="s">
        <v>633</v>
      </c>
      <c r="DKK77" t="s">
        <v>229</v>
      </c>
      <c r="DKL77" t="s">
        <v>633</v>
      </c>
      <c r="DKM77" t="s">
        <v>229</v>
      </c>
      <c r="DKN77" t="s">
        <v>633</v>
      </c>
      <c r="DKO77" t="s">
        <v>229</v>
      </c>
      <c r="DKP77" t="s">
        <v>633</v>
      </c>
      <c r="DKQ77" t="s">
        <v>229</v>
      </c>
      <c r="DKR77" t="s">
        <v>633</v>
      </c>
      <c r="DKS77" t="s">
        <v>229</v>
      </c>
      <c r="DKT77" t="s">
        <v>633</v>
      </c>
      <c r="DKU77" t="s">
        <v>229</v>
      </c>
      <c r="DKV77" t="s">
        <v>633</v>
      </c>
      <c r="DKW77" t="s">
        <v>229</v>
      </c>
      <c r="DKX77" t="s">
        <v>633</v>
      </c>
      <c r="DKY77" t="s">
        <v>229</v>
      </c>
      <c r="DKZ77" t="s">
        <v>633</v>
      </c>
      <c r="DLA77" t="s">
        <v>229</v>
      </c>
      <c r="DLB77" t="s">
        <v>633</v>
      </c>
      <c r="DLC77" t="s">
        <v>229</v>
      </c>
      <c r="DLD77" t="s">
        <v>633</v>
      </c>
      <c r="DLE77" t="s">
        <v>229</v>
      </c>
      <c r="DLF77" t="s">
        <v>633</v>
      </c>
      <c r="DLG77" t="s">
        <v>229</v>
      </c>
      <c r="DLH77" t="s">
        <v>633</v>
      </c>
      <c r="DLI77" t="s">
        <v>229</v>
      </c>
      <c r="DLJ77" t="s">
        <v>633</v>
      </c>
      <c r="DLK77" t="s">
        <v>229</v>
      </c>
      <c r="DLL77" t="s">
        <v>633</v>
      </c>
      <c r="DLM77" t="s">
        <v>229</v>
      </c>
      <c r="DLN77" t="s">
        <v>633</v>
      </c>
      <c r="DLO77" t="s">
        <v>229</v>
      </c>
      <c r="DLP77" t="s">
        <v>633</v>
      </c>
      <c r="DLQ77" t="s">
        <v>229</v>
      </c>
      <c r="DLR77" t="s">
        <v>633</v>
      </c>
      <c r="DLS77" t="s">
        <v>229</v>
      </c>
      <c r="DLT77" t="s">
        <v>633</v>
      </c>
      <c r="DLU77" t="s">
        <v>229</v>
      </c>
      <c r="DLV77" t="s">
        <v>633</v>
      </c>
      <c r="DLW77" t="s">
        <v>229</v>
      </c>
      <c r="DLX77" t="s">
        <v>633</v>
      </c>
      <c r="DLY77" t="s">
        <v>229</v>
      </c>
      <c r="DLZ77" t="s">
        <v>633</v>
      </c>
      <c r="DMA77" t="s">
        <v>229</v>
      </c>
      <c r="DMB77" t="s">
        <v>633</v>
      </c>
      <c r="DMC77" t="s">
        <v>229</v>
      </c>
      <c r="DMD77" t="s">
        <v>633</v>
      </c>
      <c r="DME77" t="s">
        <v>229</v>
      </c>
      <c r="DMF77" t="s">
        <v>633</v>
      </c>
      <c r="DMG77" t="s">
        <v>229</v>
      </c>
      <c r="DMH77" t="s">
        <v>633</v>
      </c>
      <c r="DMI77" t="s">
        <v>229</v>
      </c>
      <c r="DMJ77" t="s">
        <v>633</v>
      </c>
      <c r="DMK77" t="s">
        <v>229</v>
      </c>
      <c r="DML77" t="s">
        <v>633</v>
      </c>
      <c r="DMM77" t="s">
        <v>229</v>
      </c>
      <c r="DMN77" t="s">
        <v>633</v>
      </c>
      <c r="DMO77" t="s">
        <v>229</v>
      </c>
      <c r="DMP77" t="s">
        <v>633</v>
      </c>
      <c r="DMQ77" t="s">
        <v>229</v>
      </c>
      <c r="DMR77" t="s">
        <v>633</v>
      </c>
      <c r="DMS77" t="s">
        <v>229</v>
      </c>
      <c r="DMT77" t="s">
        <v>633</v>
      </c>
      <c r="DMU77" t="s">
        <v>229</v>
      </c>
      <c r="DMV77" t="s">
        <v>633</v>
      </c>
      <c r="DMW77" t="s">
        <v>229</v>
      </c>
      <c r="DMX77" t="s">
        <v>633</v>
      </c>
      <c r="DMY77" t="s">
        <v>229</v>
      </c>
      <c r="DMZ77" t="s">
        <v>633</v>
      </c>
      <c r="DNA77" t="s">
        <v>229</v>
      </c>
      <c r="DNB77" t="s">
        <v>633</v>
      </c>
      <c r="DNC77" t="s">
        <v>229</v>
      </c>
      <c r="DND77" t="s">
        <v>633</v>
      </c>
      <c r="DNE77" t="s">
        <v>229</v>
      </c>
      <c r="DNF77" t="s">
        <v>633</v>
      </c>
      <c r="DNG77" t="s">
        <v>229</v>
      </c>
      <c r="DNH77" t="s">
        <v>633</v>
      </c>
      <c r="DNI77" t="s">
        <v>229</v>
      </c>
      <c r="DNJ77" t="s">
        <v>633</v>
      </c>
      <c r="DNK77" t="s">
        <v>229</v>
      </c>
      <c r="DNL77" t="s">
        <v>633</v>
      </c>
      <c r="DNM77" t="s">
        <v>229</v>
      </c>
      <c r="DNN77" t="s">
        <v>633</v>
      </c>
      <c r="DNO77" t="s">
        <v>229</v>
      </c>
      <c r="DNP77" t="s">
        <v>633</v>
      </c>
      <c r="DNQ77" t="s">
        <v>229</v>
      </c>
      <c r="DNR77" t="s">
        <v>633</v>
      </c>
      <c r="DNS77" t="s">
        <v>229</v>
      </c>
      <c r="DNT77" t="s">
        <v>633</v>
      </c>
      <c r="DNU77" t="s">
        <v>229</v>
      </c>
      <c r="DNV77" t="s">
        <v>633</v>
      </c>
      <c r="DNW77" t="s">
        <v>229</v>
      </c>
      <c r="DNX77" t="s">
        <v>633</v>
      </c>
      <c r="DNY77" t="s">
        <v>229</v>
      </c>
      <c r="DNZ77" t="s">
        <v>633</v>
      </c>
      <c r="DOA77" t="s">
        <v>229</v>
      </c>
      <c r="DOB77" t="s">
        <v>633</v>
      </c>
      <c r="DOC77" t="s">
        <v>229</v>
      </c>
      <c r="DOD77" t="s">
        <v>633</v>
      </c>
      <c r="DOE77" t="s">
        <v>229</v>
      </c>
      <c r="DOF77" t="s">
        <v>633</v>
      </c>
      <c r="DOG77" t="s">
        <v>229</v>
      </c>
      <c r="DOH77" t="s">
        <v>633</v>
      </c>
      <c r="DOI77" t="s">
        <v>229</v>
      </c>
      <c r="DOJ77" t="s">
        <v>633</v>
      </c>
      <c r="DOK77" t="s">
        <v>229</v>
      </c>
      <c r="DOL77" t="s">
        <v>633</v>
      </c>
      <c r="DOM77" t="s">
        <v>229</v>
      </c>
      <c r="DON77" t="s">
        <v>633</v>
      </c>
      <c r="DOO77" t="s">
        <v>229</v>
      </c>
      <c r="DOP77" t="s">
        <v>633</v>
      </c>
      <c r="DOQ77" t="s">
        <v>229</v>
      </c>
      <c r="DOR77" t="s">
        <v>633</v>
      </c>
      <c r="DOS77" t="s">
        <v>229</v>
      </c>
      <c r="DOT77" t="s">
        <v>633</v>
      </c>
      <c r="DOU77" t="s">
        <v>229</v>
      </c>
      <c r="DOV77" t="s">
        <v>633</v>
      </c>
      <c r="DOW77" t="s">
        <v>229</v>
      </c>
      <c r="DOX77" t="s">
        <v>633</v>
      </c>
      <c r="DOY77" t="s">
        <v>229</v>
      </c>
      <c r="DOZ77" t="s">
        <v>633</v>
      </c>
      <c r="DPA77" t="s">
        <v>229</v>
      </c>
      <c r="DPB77" t="s">
        <v>633</v>
      </c>
      <c r="DPC77" t="s">
        <v>229</v>
      </c>
      <c r="DPD77" t="s">
        <v>633</v>
      </c>
      <c r="DPE77" t="s">
        <v>229</v>
      </c>
      <c r="DPF77" t="s">
        <v>633</v>
      </c>
      <c r="DPG77" t="s">
        <v>229</v>
      </c>
      <c r="DPH77" t="s">
        <v>633</v>
      </c>
      <c r="DPI77" t="s">
        <v>229</v>
      </c>
      <c r="DPJ77" t="s">
        <v>633</v>
      </c>
      <c r="DPK77" t="s">
        <v>229</v>
      </c>
      <c r="DPL77" t="s">
        <v>633</v>
      </c>
      <c r="DPM77" t="s">
        <v>229</v>
      </c>
      <c r="DPN77" t="s">
        <v>633</v>
      </c>
      <c r="DPO77" t="s">
        <v>229</v>
      </c>
      <c r="DPP77" t="s">
        <v>633</v>
      </c>
      <c r="DPQ77" t="s">
        <v>229</v>
      </c>
      <c r="DPR77" t="s">
        <v>633</v>
      </c>
      <c r="DPS77" t="s">
        <v>229</v>
      </c>
      <c r="DPT77" t="s">
        <v>633</v>
      </c>
      <c r="DPU77" t="s">
        <v>229</v>
      </c>
      <c r="DPV77" t="s">
        <v>633</v>
      </c>
      <c r="DPW77" t="s">
        <v>229</v>
      </c>
      <c r="DPX77" t="s">
        <v>633</v>
      </c>
      <c r="DPY77" t="s">
        <v>229</v>
      </c>
      <c r="DPZ77" t="s">
        <v>633</v>
      </c>
      <c r="DQA77" t="s">
        <v>229</v>
      </c>
      <c r="DQB77" t="s">
        <v>633</v>
      </c>
      <c r="DQC77" t="s">
        <v>229</v>
      </c>
      <c r="DQD77" t="s">
        <v>633</v>
      </c>
      <c r="DQE77" t="s">
        <v>229</v>
      </c>
      <c r="DQF77" t="s">
        <v>633</v>
      </c>
      <c r="DQG77" t="s">
        <v>229</v>
      </c>
      <c r="DQH77" t="s">
        <v>633</v>
      </c>
      <c r="DQI77" t="s">
        <v>229</v>
      </c>
      <c r="DQJ77" t="s">
        <v>633</v>
      </c>
      <c r="DQK77" t="s">
        <v>229</v>
      </c>
      <c r="DQL77" t="s">
        <v>633</v>
      </c>
      <c r="DQM77" t="s">
        <v>229</v>
      </c>
      <c r="DQN77" t="s">
        <v>633</v>
      </c>
      <c r="DQO77" t="s">
        <v>229</v>
      </c>
      <c r="DQP77" t="s">
        <v>633</v>
      </c>
      <c r="DQQ77" t="s">
        <v>229</v>
      </c>
      <c r="DQR77" t="s">
        <v>633</v>
      </c>
      <c r="DQS77" t="s">
        <v>229</v>
      </c>
      <c r="DQT77" t="s">
        <v>633</v>
      </c>
      <c r="DQU77" t="s">
        <v>229</v>
      </c>
      <c r="DQV77" t="s">
        <v>633</v>
      </c>
      <c r="DQW77" t="s">
        <v>229</v>
      </c>
      <c r="DQX77" t="s">
        <v>633</v>
      </c>
      <c r="DQY77" t="s">
        <v>229</v>
      </c>
      <c r="DQZ77" t="s">
        <v>633</v>
      </c>
      <c r="DRA77" t="s">
        <v>229</v>
      </c>
      <c r="DRB77" t="s">
        <v>633</v>
      </c>
      <c r="DRC77" t="s">
        <v>229</v>
      </c>
      <c r="DRD77" t="s">
        <v>633</v>
      </c>
      <c r="DRE77" t="s">
        <v>229</v>
      </c>
      <c r="DRF77" t="s">
        <v>633</v>
      </c>
      <c r="DRG77" t="s">
        <v>229</v>
      </c>
      <c r="DRH77" t="s">
        <v>633</v>
      </c>
      <c r="DRI77" t="s">
        <v>229</v>
      </c>
      <c r="DRJ77" t="s">
        <v>633</v>
      </c>
      <c r="DRK77" t="s">
        <v>229</v>
      </c>
      <c r="DRL77" t="s">
        <v>633</v>
      </c>
      <c r="DRM77" t="s">
        <v>229</v>
      </c>
      <c r="DRN77" t="s">
        <v>633</v>
      </c>
      <c r="DRO77" t="s">
        <v>229</v>
      </c>
      <c r="DRP77" t="s">
        <v>633</v>
      </c>
      <c r="DRQ77" t="s">
        <v>229</v>
      </c>
      <c r="DRR77" t="s">
        <v>633</v>
      </c>
      <c r="DRS77" t="s">
        <v>229</v>
      </c>
      <c r="DRT77" t="s">
        <v>633</v>
      </c>
      <c r="DRU77" t="s">
        <v>229</v>
      </c>
      <c r="DRV77" t="s">
        <v>633</v>
      </c>
      <c r="DRW77" t="s">
        <v>229</v>
      </c>
      <c r="DRX77" t="s">
        <v>633</v>
      </c>
      <c r="DRY77" t="s">
        <v>229</v>
      </c>
      <c r="DRZ77" t="s">
        <v>633</v>
      </c>
      <c r="DSA77" t="s">
        <v>229</v>
      </c>
      <c r="DSB77" t="s">
        <v>633</v>
      </c>
      <c r="DSC77" t="s">
        <v>229</v>
      </c>
      <c r="DSD77" t="s">
        <v>633</v>
      </c>
      <c r="DSE77" t="s">
        <v>229</v>
      </c>
      <c r="DSF77" t="s">
        <v>633</v>
      </c>
      <c r="DSG77" t="s">
        <v>229</v>
      </c>
      <c r="DSH77" t="s">
        <v>633</v>
      </c>
      <c r="DSI77" t="s">
        <v>229</v>
      </c>
      <c r="DSJ77" t="s">
        <v>633</v>
      </c>
      <c r="DSK77" t="s">
        <v>229</v>
      </c>
      <c r="DSL77" t="s">
        <v>633</v>
      </c>
      <c r="DSM77" t="s">
        <v>229</v>
      </c>
      <c r="DSN77" t="s">
        <v>633</v>
      </c>
      <c r="DSO77" t="s">
        <v>229</v>
      </c>
      <c r="DSP77" t="s">
        <v>633</v>
      </c>
      <c r="DSQ77" t="s">
        <v>229</v>
      </c>
      <c r="DSR77" t="s">
        <v>633</v>
      </c>
      <c r="DSS77" t="s">
        <v>229</v>
      </c>
      <c r="DST77" t="s">
        <v>633</v>
      </c>
      <c r="DSU77" t="s">
        <v>229</v>
      </c>
      <c r="DSV77" t="s">
        <v>633</v>
      </c>
      <c r="DSW77" t="s">
        <v>229</v>
      </c>
      <c r="DSX77" t="s">
        <v>633</v>
      </c>
      <c r="DSY77" t="s">
        <v>229</v>
      </c>
      <c r="DSZ77" t="s">
        <v>633</v>
      </c>
      <c r="DTA77" t="s">
        <v>229</v>
      </c>
      <c r="DTB77" t="s">
        <v>633</v>
      </c>
      <c r="DTC77" t="s">
        <v>229</v>
      </c>
      <c r="DTD77" t="s">
        <v>633</v>
      </c>
      <c r="DTE77" t="s">
        <v>229</v>
      </c>
      <c r="DTF77" t="s">
        <v>633</v>
      </c>
      <c r="DTG77" t="s">
        <v>229</v>
      </c>
      <c r="DTH77" t="s">
        <v>633</v>
      </c>
      <c r="DTI77" t="s">
        <v>229</v>
      </c>
      <c r="DTJ77" t="s">
        <v>633</v>
      </c>
      <c r="DTK77" t="s">
        <v>229</v>
      </c>
      <c r="DTL77" t="s">
        <v>633</v>
      </c>
      <c r="DTM77" t="s">
        <v>229</v>
      </c>
      <c r="DTN77" t="s">
        <v>633</v>
      </c>
      <c r="DTO77" t="s">
        <v>229</v>
      </c>
      <c r="DTP77" t="s">
        <v>633</v>
      </c>
      <c r="DTQ77" t="s">
        <v>229</v>
      </c>
      <c r="DTR77" t="s">
        <v>633</v>
      </c>
      <c r="DTS77" t="s">
        <v>229</v>
      </c>
      <c r="DTT77" t="s">
        <v>633</v>
      </c>
      <c r="DTU77" t="s">
        <v>229</v>
      </c>
      <c r="DTV77" t="s">
        <v>633</v>
      </c>
      <c r="DTW77" t="s">
        <v>229</v>
      </c>
      <c r="DTX77" t="s">
        <v>633</v>
      </c>
      <c r="DTY77" t="s">
        <v>229</v>
      </c>
      <c r="DTZ77" t="s">
        <v>633</v>
      </c>
      <c r="DUA77" t="s">
        <v>229</v>
      </c>
      <c r="DUB77" t="s">
        <v>633</v>
      </c>
      <c r="DUC77" t="s">
        <v>229</v>
      </c>
      <c r="DUD77" t="s">
        <v>633</v>
      </c>
      <c r="DUE77" t="s">
        <v>229</v>
      </c>
      <c r="DUF77" t="s">
        <v>633</v>
      </c>
      <c r="DUG77" t="s">
        <v>229</v>
      </c>
      <c r="DUH77" t="s">
        <v>633</v>
      </c>
      <c r="DUI77" t="s">
        <v>229</v>
      </c>
      <c r="DUJ77" t="s">
        <v>633</v>
      </c>
      <c r="DUK77" t="s">
        <v>229</v>
      </c>
      <c r="DUL77" t="s">
        <v>633</v>
      </c>
      <c r="DUM77" t="s">
        <v>229</v>
      </c>
      <c r="DUN77" t="s">
        <v>633</v>
      </c>
      <c r="DUO77" t="s">
        <v>229</v>
      </c>
      <c r="DUP77" t="s">
        <v>633</v>
      </c>
      <c r="DUQ77" t="s">
        <v>229</v>
      </c>
      <c r="DUR77" t="s">
        <v>633</v>
      </c>
      <c r="DUS77" t="s">
        <v>229</v>
      </c>
      <c r="DUT77" t="s">
        <v>633</v>
      </c>
      <c r="DUU77" t="s">
        <v>229</v>
      </c>
      <c r="DUV77" t="s">
        <v>633</v>
      </c>
      <c r="DUW77" t="s">
        <v>229</v>
      </c>
      <c r="DUX77" t="s">
        <v>633</v>
      </c>
      <c r="DUY77" t="s">
        <v>229</v>
      </c>
      <c r="DUZ77" t="s">
        <v>633</v>
      </c>
      <c r="DVA77" t="s">
        <v>229</v>
      </c>
      <c r="DVB77" t="s">
        <v>633</v>
      </c>
      <c r="DVC77" t="s">
        <v>229</v>
      </c>
      <c r="DVD77" t="s">
        <v>633</v>
      </c>
      <c r="DVE77" t="s">
        <v>229</v>
      </c>
      <c r="DVF77" t="s">
        <v>633</v>
      </c>
      <c r="DVG77" t="s">
        <v>229</v>
      </c>
      <c r="DVH77" t="s">
        <v>633</v>
      </c>
      <c r="DVI77" t="s">
        <v>229</v>
      </c>
      <c r="DVJ77" t="s">
        <v>633</v>
      </c>
      <c r="DVK77" t="s">
        <v>229</v>
      </c>
      <c r="DVL77" t="s">
        <v>633</v>
      </c>
      <c r="DVM77" t="s">
        <v>229</v>
      </c>
      <c r="DVN77" t="s">
        <v>633</v>
      </c>
      <c r="DVO77" t="s">
        <v>229</v>
      </c>
      <c r="DVP77" t="s">
        <v>633</v>
      </c>
      <c r="DVQ77" t="s">
        <v>229</v>
      </c>
      <c r="DVR77" t="s">
        <v>633</v>
      </c>
      <c r="DVS77" t="s">
        <v>229</v>
      </c>
      <c r="DVT77" t="s">
        <v>633</v>
      </c>
      <c r="DVU77" t="s">
        <v>229</v>
      </c>
      <c r="DVV77" t="s">
        <v>633</v>
      </c>
      <c r="DVW77" t="s">
        <v>229</v>
      </c>
      <c r="DVX77" t="s">
        <v>633</v>
      </c>
      <c r="DVY77" t="s">
        <v>229</v>
      </c>
      <c r="DVZ77" t="s">
        <v>633</v>
      </c>
      <c r="DWA77" t="s">
        <v>229</v>
      </c>
      <c r="DWB77" t="s">
        <v>633</v>
      </c>
      <c r="DWC77" t="s">
        <v>229</v>
      </c>
      <c r="DWD77" t="s">
        <v>633</v>
      </c>
      <c r="DWE77" t="s">
        <v>229</v>
      </c>
      <c r="DWF77" t="s">
        <v>633</v>
      </c>
      <c r="DWG77" t="s">
        <v>229</v>
      </c>
      <c r="DWH77" t="s">
        <v>633</v>
      </c>
      <c r="DWI77" t="s">
        <v>229</v>
      </c>
      <c r="DWJ77" t="s">
        <v>633</v>
      </c>
      <c r="DWK77" t="s">
        <v>229</v>
      </c>
      <c r="DWL77" t="s">
        <v>633</v>
      </c>
      <c r="DWM77" t="s">
        <v>229</v>
      </c>
      <c r="DWN77" t="s">
        <v>633</v>
      </c>
      <c r="DWO77" t="s">
        <v>229</v>
      </c>
      <c r="DWP77" t="s">
        <v>633</v>
      </c>
      <c r="DWQ77" t="s">
        <v>229</v>
      </c>
      <c r="DWR77" t="s">
        <v>633</v>
      </c>
      <c r="DWS77" t="s">
        <v>229</v>
      </c>
      <c r="DWT77" t="s">
        <v>633</v>
      </c>
      <c r="DWU77" t="s">
        <v>229</v>
      </c>
      <c r="DWV77" t="s">
        <v>633</v>
      </c>
      <c r="DWW77" t="s">
        <v>229</v>
      </c>
      <c r="DWX77" t="s">
        <v>633</v>
      </c>
      <c r="DWY77" t="s">
        <v>229</v>
      </c>
      <c r="DWZ77" t="s">
        <v>633</v>
      </c>
      <c r="DXA77" t="s">
        <v>229</v>
      </c>
      <c r="DXB77" t="s">
        <v>633</v>
      </c>
      <c r="DXC77" t="s">
        <v>229</v>
      </c>
      <c r="DXD77" t="s">
        <v>633</v>
      </c>
      <c r="DXE77" t="s">
        <v>229</v>
      </c>
      <c r="DXF77" t="s">
        <v>633</v>
      </c>
      <c r="DXG77" t="s">
        <v>229</v>
      </c>
      <c r="DXH77" t="s">
        <v>633</v>
      </c>
      <c r="DXI77" t="s">
        <v>229</v>
      </c>
      <c r="DXJ77" t="s">
        <v>633</v>
      </c>
      <c r="DXK77" t="s">
        <v>229</v>
      </c>
      <c r="DXL77" t="s">
        <v>633</v>
      </c>
      <c r="DXM77" t="s">
        <v>229</v>
      </c>
      <c r="DXN77" t="s">
        <v>633</v>
      </c>
      <c r="DXO77" t="s">
        <v>229</v>
      </c>
      <c r="DXP77" t="s">
        <v>633</v>
      </c>
      <c r="DXQ77" t="s">
        <v>229</v>
      </c>
      <c r="DXR77" t="s">
        <v>633</v>
      </c>
      <c r="DXS77" t="s">
        <v>229</v>
      </c>
      <c r="DXT77" t="s">
        <v>633</v>
      </c>
      <c r="DXU77" t="s">
        <v>229</v>
      </c>
      <c r="DXV77" t="s">
        <v>633</v>
      </c>
      <c r="DXW77" t="s">
        <v>229</v>
      </c>
      <c r="DXX77" t="s">
        <v>633</v>
      </c>
      <c r="DXY77" t="s">
        <v>229</v>
      </c>
      <c r="DXZ77" t="s">
        <v>633</v>
      </c>
      <c r="DYA77" t="s">
        <v>229</v>
      </c>
      <c r="DYB77" t="s">
        <v>633</v>
      </c>
      <c r="DYC77" t="s">
        <v>229</v>
      </c>
      <c r="DYD77" t="s">
        <v>633</v>
      </c>
      <c r="DYE77" t="s">
        <v>229</v>
      </c>
      <c r="DYF77" t="s">
        <v>633</v>
      </c>
      <c r="DYG77" t="s">
        <v>229</v>
      </c>
      <c r="DYH77" t="s">
        <v>633</v>
      </c>
      <c r="DYI77" t="s">
        <v>229</v>
      </c>
      <c r="DYJ77" t="s">
        <v>633</v>
      </c>
      <c r="DYK77" t="s">
        <v>229</v>
      </c>
      <c r="DYL77" t="s">
        <v>633</v>
      </c>
      <c r="DYM77" t="s">
        <v>229</v>
      </c>
      <c r="DYN77" t="s">
        <v>633</v>
      </c>
      <c r="DYO77" t="s">
        <v>229</v>
      </c>
      <c r="DYP77" t="s">
        <v>633</v>
      </c>
      <c r="DYQ77" t="s">
        <v>229</v>
      </c>
      <c r="DYR77" t="s">
        <v>633</v>
      </c>
      <c r="DYS77" t="s">
        <v>229</v>
      </c>
      <c r="DYT77" t="s">
        <v>633</v>
      </c>
      <c r="DYU77" t="s">
        <v>229</v>
      </c>
      <c r="DYV77" t="s">
        <v>633</v>
      </c>
      <c r="DYW77" t="s">
        <v>229</v>
      </c>
      <c r="DYX77" t="s">
        <v>633</v>
      </c>
      <c r="DYY77" t="s">
        <v>229</v>
      </c>
      <c r="DYZ77" t="s">
        <v>633</v>
      </c>
      <c r="DZA77" t="s">
        <v>229</v>
      </c>
      <c r="DZB77" t="s">
        <v>633</v>
      </c>
      <c r="DZC77" t="s">
        <v>229</v>
      </c>
      <c r="DZD77" t="s">
        <v>633</v>
      </c>
      <c r="DZE77" t="s">
        <v>229</v>
      </c>
      <c r="DZF77" t="s">
        <v>633</v>
      </c>
      <c r="DZG77" t="s">
        <v>229</v>
      </c>
      <c r="DZH77" t="s">
        <v>633</v>
      </c>
      <c r="DZI77" t="s">
        <v>229</v>
      </c>
      <c r="DZJ77" t="s">
        <v>633</v>
      </c>
      <c r="DZK77" t="s">
        <v>229</v>
      </c>
      <c r="DZL77" t="s">
        <v>633</v>
      </c>
      <c r="DZM77" t="s">
        <v>229</v>
      </c>
      <c r="DZN77" t="s">
        <v>633</v>
      </c>
      <c r="DZO77" t="s">
        <v>229</v>
      </c>
      <c r="DZP77" t="s">
        <v>633</v>
      </c>
      <c r="DZQ77" t="s">
        <v>229</v>
      </c>
      <c r="DZR77" t="s">
        <v>633</v>
      </c>
      <c r="DZS77" t="s">
        <v>229</v>
      </c>
      <c r="DZT77" t="s">
        <v>633</v>
      </c>
      <c r="DZU77" t="s">
        <v>229</v>
      </c>
      <c r="DZV77" t="s">
        <v>633</v>
      </c>
      <c r="DZW77" t="s">
        <v>229</v>
      </c>
      <c r="DZX77" t="s">
        <v>633</v>
      </c>
      <c r="DZY77" t="s">
        <v>229</v>
      </c>
      <c r="DZZ77" t="s">
        <v>633</v>
      </c>
      <c r="EAA77" t="s">
        <v>229</v>
      </c>
      <c r="EAB77" t="s">
        <v>633</v>
      </c>
      <c r="EAC77" t="s">
        <v>229</v>
      </c>
      <c r="EAD77" t="s">
        <v>633</v>
      </c>
      <c r="EAE77" t="s">
        <v>229</v>
      </c>
      <c r="EAF77" t="s">
        <v>633</v>
      </c>
      <c r="EAG77" t="s">
        <v>229</v>
      </c>
      <c r="EAH77" t="s">
        <v>633</v>
      </c>
      <c r="EAI77" t="s">
        <v>229</v>
      </c>
      <c r="EAJ77" t="s">
        <v>633</v>
      </c>
      <c r="EAK77" t="s">
        <v>229</v>
      </c>
      <c r="EAL77" t="s">
        <v>633</v>
      </c>
      <c r="EAM77" t="s">
        <v>229</v>
      </c>
      <c r="EAN77" t="s">
        <v>633</v>
      </c>
      <c r="EAO77" t="s">
        <v>229</v>
      </c>
      <c r="EAP77" t="s">
        <v>633</v>
      </c>
      <c r="EAQ77" t="s">
        <v>229</v>
      </c>
      <c r="EAR77" t="s">
        <v>633</v>
      </c>
      <c r="EAS77" t="s">
        <v>229</v>
      </c>
      <c r="EAT77" t="s">
        <v>633</v>
      </c>
      <c r="EAU77" t="s">
        <v>229</v>
      </c>
      <c r="EAV77" t="s">
        <v>633</v>
      </c>
      <c r="EAW77" t="s">
        <v>229</v>
      </c>
      <c r="EAX77" t="s">
        <v>633</v>
      </c>
      <c r="EAY77" t="s">
        <v>229</v>
      </c>
      <c r="EAZ77" t="s">
        <v>633</v>
      </c>
      <c r="EBA77" t="s">
        <v>229</v>
      </c>
      <c r="EBB77" t="s">
        <v>633</v>
      </c>
      <c r="EBC77" t="s">
        <v>229</v>
      </c>
      <c r="EBD77" t="s">
        <v>633</v>
      </c>
      <c r="EBE77" t="s">
        <v>229</v>
      </c>
      <c r="EBF77" t="s">
        <v>633</v>
      </c>
      <c r="EBG77" t="s">
        <v>229</v>
      </c>
      <c r="EBH77" t="s">
        <v>633</v>
      </c>
      <c r="EBI77" t="s">
        <v>229</v>
      </c>
      <c r="EBJ77" t="s">
        <v>633</v>
      </c>
      <c r="EBK77" t="s">
        <v>229</v>
      </c>
      <c r="EBL77" t="s">
        <v>633</v>
      </c>
      <c r="EBM77" t="s">
        <v>229</v>
      </c>
      <c r="EBN77" t="s">
        <v>633</v>
      </c>
      <c r="EBO77" t="s">
        <v>229</v>
      </c>
      <c r="EBP77" t="s">
        <v>633</v>
      </c>
      <c r="EBQ77" t="s">
        <v>229</v>
      </c>
      <c r="EBR77" t="s">
        <v>633</v>
      </c>
      <c r="EBS77" t="s">
        <v>229</v>
      </c>
      <c r="EBT77" t="s">
        <v>633</v>
      </c>
      <c r="EBU77" t="s">
        <v>229</v>
      </c>
      <c r="EBV77" t="s">
        <v>633</v>
      </c>
      <c r="EBW77" t="s">
        <v>229</v>
      </c>
      <c r="EBX77" t="s">
        <v>633</v>
      </c>
      <c r="EBY77" t="s">
        <v>229</v>
      </c>
      <c r="EBZ77" t="s">
        <v>633</v>
      </c>
      <c r="ECA77" t="s">
        <v>229</v>
      </c>
      <c r="ECB77" t="s">
        <v>633</v>
      </c>
      <c r="ECC77" t="s">
        <v>229</v>
      </c>
      <c r="ECD77" t="s">
        <v>633</v>
      </c>
      <c r="ECE77" t="s">
        <v>229</v>
      </c>
      <c r="ECF77" t="s">
        <v>633</v>
      </c>
      <c r="ECG77" t="s">
        <v>229</v>
      </c>
      <c r="ECH77" t="s">
        <v>633</v>
      </c>
      <c r="ECI77" t="s">
        <v>229</v>
      </c>
      <c r="ECJ77" t="s">
        <v>633</v>
      </c>
      <c r="ECK77" t="s">
        <v>229</v>
      </c>
      <c r="ECL77" t="s">
        <v>633</v>
      </c>
      <c r="ECM77" t="s">
        <v>229</v>
      </c>
      <c r="ECN77" t="s">
        <v>633</v>
      </c>
      <c r="ECO77" t="s">
        <v>229</v>
      </c>
      <c r="ECP77" t="s">
        <v>633</v>
      </c>
      <c r="ECQ77" t="s">
        <v>229</v>
      </c>
      <c r="ECR77" t="s">
        <v>633</v>
      </c>
      <c r="ECS77" t="s">
        <v>229</v>
      </c>
      <c r="ECT77" t="s">
        <v>633</v>
      </c>
      <c r="ECU77" t="s">
        <v>229</v>
      </c>
      <c r="ECV77" t="s">
        <v>633</v>
      </c>
      <c r="ECW77" t="s">
        <v>229</v>
      </c>
      <c r="ECX77" t="s">
        <v>633</v>
      </c>
      <c r="ECY77" t="s">
        <v>229</v>
      </c>
      <c r="ECZ77" t="s">
        <v>633</v>
      </c>
      <c r="EDA77" t="s">
        <v>229</v>
      </c>
      <c r="EDB77" t="s">
        <v>633</v>
      </c>
      <c r="EDC77" t="s">
        <v>229</v>
      </c>
      <c r="EDD77" t="s">
        <v>633</v>
      </c>
      <c r="EDE77" t="s">
        <v>229</v>
      </c>
      <c r="EDF77" t="s">
        <v>633</v>
      </c>
      <c r="EDG77" t="s">
        <v>229</v>
      </c>
      <c r="EDH77" t="s">
        <v>633</v>
      </c>
      <c r="EDI77" t="s">
        <v>229</v>
      </c>
      <c r="EDJ77" t="s">
        <v>633</v>
      </c>
      <c r="EDK77" t="s">
        <v>229</v>
      </c>
      <c r="EDL77" t="s">
        <v>633</v>
      </c>
      <c r="EDM77" t="s">
        <v>229</v>
      </c>
      <c r="EDN77" t="s">
        <v>633</v>
      </c>
      <c r="EDO77" t="s">
        <v>229</v>
      </c>
      <c r="EDP77" t="s">
        <v>633</v>
      </c>
      <c r="EDQ77" t="s">
        <v>229</v>
      </c>
      <c r="EDR77" t="s">
        <v>633</v>
      </c>
      <c r="EDS77" t="s">
        <v>229</v>
      </c>
      <c r="EDT77" t="s">
        <v>633</v>
      </c>
      <c r="EDU77" t="s">
        <v>229</v>
      </c>
      <c r="EDV77" t="s">
        <v>633</v>
      </c>
      <c r="EDW77" t="s">
        <v>229</v>
      </c>
      <c r="EDX77" t="s">
        <v>633</v>
      </c>
      <c r="EDY77" t="s">
        <v>229</v>
      </c>
      <c r="EDZ77" t="s">
        <v>633</v>
      </c>
      <c r="EEA77" t="s">
        <v>229</v>
      </c>
      <c r="EEB77" t="s">
        <v>633</v>
      </c>
      <c r="EEC77" t="s">
        <v>229</v>
      </c>
      <c r="EED77" t="s">
        <v>633</v>
      </c>
      <c r="EEE77" t="s">
        <v>229</v>
      </c>
      <c r="EEF77" t="s">
        <v>633</v>
      </c>
      <c r="EEG77" t="s">
        <v>229</v>
      </c>
      <c r="EEH77" t="s">
        <v>633</v>
      </c>
      <c r="EEI77" t="s">
        <v>229</v>
      </c>
      <c r="EEJ77" t="s">
        <v>633</v>
      </c>
      <c r="EEK77" t="s">
        <v>229</v>
      </c>
      <c r="EEL77" t="s">
        <v>633</v>
      </c>
      <c r="EEM77" t="s">
        <v>229</v>
      </c>
      <c r="EEN77" t="s">
        <v>633</v>
      </c>
      <c r="EEO77" t="s">
        <v>229</v>
      </c>
      <c r="EEP77" t="s">
        <v>633</v>
      </c>
      <c r="EEQ77" t="s">
        <v>229</v>
      </c>
      <c r="EER77" t="s">
        <v>633</v>
      </c>
      <c r="EES77" t="s">
        <v>229</v>
      </c>
      <c r="EET77" t="s">
        <v>633</v>
      </c>
      <c r="EEU77" t="s">
        <v>229</v>
      </c>
      <c r="EEV77" t="s">
        <v>633</v>
      </c>
      <c r="EEW77" t="s">
        <v>229</v>
      </c>
      <c r="EEX77" t="s">
        <v>633</v>
      </c>
      <c r="EEY77" t="s">
        <v>229</v>
      </c>
      <c r="EEZ77" t="s">
        <v>633</v>
      </c>
      <c r="EFA77" t="s">
        <v>229</v>
      </c>
      <c r="EFB77" t="s">
        <v>633</v>
      </c>
      <c r="EFC77" t="s">
        <v>229</v>
      </c>
      <c r="EFD77" t="s">
        <v>633</v>
      </c>
      <c r="EFE77" t="s">
        <v>229</v>
      </c>
      <c r="EFF77" t="s">
        <v>633</v>
      </c>
      <c r="EFG77" t="s">
        <v>229</v>
      </c>
      <c r="EFH77" t="s">
        <v>633</v>
      </c>
      <c r="EFI77" t="s">
        <v>229</v>
      </c>
      <c r="EFJ77" t="s">
        <v>633</v>
      </c>
      <c r="EFK77" t="s">
        <v>229</v>
      </c>
      <c r="EFL77" t="s">
        <v>633</v>
      </c>
      <c r="EFM77" t="s">
        <v>229</v>
      </c>
      <c r="EFN77" t="s">
        <v>633</v>
      </c>
      <c r="EFO77" t="s">
        <v>229</v>
      </c>
      <c r="EFP77" t="s">
        <v>633</v>
      </c>
      <c r="EFQ77" t="s">
        <v>229</v>
      </c>
      <c r="EFR77" t="s">
        <v>633</v>
      </c>
      <c r="EFS77" t="s">
        <v>229</v>
      </c>
      <c r="EFT77" t="s">
        <v>633</v>
      </c>
      <c r="EFU77" t="s">
        <v>229</v>
      </c>
      <c r="EFV77" t="s">
        <v>633</v>
      </c>
      <c r="EFW77" t="s">
        <v>229</v>
      </c>
      <c r="EFX77" t="s">
        <v>633</v>
      </c>
      <c r="EFY77" t="s">
        <v>229</v>
      </c>
      <c r="EFZ77" t="s">
        <v>633</v>
      </c>
      <c r="EGA77" t="s">
        <v>229</v>
      </c>
      <c r="EGB77" t="s">
        <v>633</v>
      </c>
      <c r="EGC77" t="s">
        <v>229</v>
      </c>
      <c r="EGD77" t="s">
        <v>633</v>
      </c>
      <c r="EGE77" t="s">
        <v>229</v>
      </c>
      <c r="EGF77" t="s">
        <v>633</v>
      </c>
      <c r="EGG77" t="s">
        <v>229</v>
      </c>
      <c r="EGH77" t="s">
        <v>633</v>
      </c>
      <c r="EGI77" t="s">
        <v>229</v>
      </c>
      <c r="EGJ77" t="s">
        <v>633</v>
      </c>
      <c r="EGK77" t="s">
        <v>229</v>
      </c>
      <c r="EGL77" t="s">
        <v>633</v>
      </c>
      <c r="EGM77" t="s">
        <v>229</v>
      </c>
      <c r="EGN77" t="s">
        <v>633</v>
      </c>
      <c r="EGO77" t="s">
        <v>229</v>
      </c>
      <c r="EGP77" t="s">
        <v>633</v>
      </c>
      <c r="EGQ77" t="s">
        <v>229</v>
      </c>
      <c r="EGR77" t="s">
        <v>633</v>
      </c>
      <c r="EGS77" t="s">
        <v>229</v>
      </c>
      <c r="EGT77" t="s">
        <v>633</v>
      </c>
      <c r="EGU77" t="s">
        <v>229</v>
      </c>
      <c r="EGV77" t="s">
        <v>633</v>
      </c>
      <c r="EGW77" t="s">
        <v>229</v>
      </c>
      <c r="EGX77" t="s">
        <v>633</v>
      </c>
      <c r="EGY77" t="s">
        <v>229</v>
      </c>
      <c r="EGZ77" t="s">
        <v>633</v>
      </c>
      <c r="EHA77" t="s">
        <v>229</v>
      </c>
      <c r="EHB77" t="s">
        <v>633</v>
      </c>
      <c r="EHC77" t="s">
        <v>229</v>
      </c>
      <c r="EHD77" t="s">
        <v>633</v>
      </c>
      <c r="EHE77" t="s">
        <v>229</v>
      </c>
      <c r="EHF77" t="s">
        <v>633</v>
      </c>
      <c r="EHG77" t="s">
        <v>229</v>
      </c>
      <c r="EHH77" t="s">
        <v>633</v>
      </c>
      <c r="EHI77" t="s">
        <v>229</v>
      </c>
      <c r="EHJ77" t="s">
        <v>633</v>
      </c>
      <c r="EHK77" t="s">
        <v>229</v>
      </c>
      <c r="EHL77" t="s">
        <v>633</v>
      </c>
      <c r="EHM77" t="s">
        <v>229</v>
      </c>
      <c r="EHN77" t="s">
        <v>633</v>
      </c>
      <c r="EHO77" t="s">
        <v>229</v>
      </c>
      <c r="EHP77" t="s">
        <v>633</v>
      </c>
      <c r="EHQ77" t="s">
        <v>229</v>
      </c>
      <c r="EHR77" t="s">
        <v>633</v>
      </c>
      <c r="EHS77" t="s">
        <v>229</v>
      </c>
      <c r="EHT77" t="s">
        <v>633</v>
      </c>
      <c r="EHU77" t="s">
        <v>229</v>
      </c>
      <c r="EHV77" t="s">
        <v>633</v>
      </c>
      <c r="EHW77" t="s">
        <v>229</v>
      </c>
      <c r="EHX77" t="s">
        <v>633</v>
      </c>
      <c r="EHY77" t="s">
        <v>229</v>
      </c>
      <c r="EHZ77" t="s">
        <v>633</v>
      </c>
      <c r="EIA77" t="s">
        <v>229</v>
      </c>
      <c r="EIB77" t="s">
        <v>633</v>
      </c>
      <c r="EIC77" t="s">
        <v>229</v>
      </c>
      <c r="EID77" t="s">
        <v>633</v>
      </c>
      <c r="EIE77" t="s">
        <v>229</v>
      </c>
      <c r="EIF77" t="s">
        <v>633</v>
      </c>
      <c r="EIG77" t="s">
        <v>229</v>
      </c>
      <c r="EIH77" t="s">
        <v>633</v>
      </c>
      <c r="EII77" t="s">
        <v>229</v>
      </c>
      <c r="EIJ77" t="s">
        <v>633</v>
      </c>
      <c r="EIK77" t="s">
        <v>229</v>
      </c>
      <c r="EIL77" t="s">
        <v>633</v>
      </c>
      <c r="EIM77" t="s">
        <v>229</v>
      </c>
      <c r="EIN77" t="s">
        <v>633</v>
      </c>
      <c r="EIO77" t="s">
        <v>229</v>
      </c>
      <c r="EIP77" t="s">
        <v>633</v>
      </c>
      <c r="EIQ77" t="s">
        <v>229</v>
      </c>
      <c r="EIR77" t="s">
        <v>633</v>
      </c>
      <c r="EIS77" t="s">
        <v>229</v>
      </c>
      <c r="EIT77" t="s">
        <v>633</v>
      </c>
      <c r="EIU77" t="s">
        <v>229</v>
      </c>
      <c r="EIV77" t="s">
        <v>633</v>
      </c>
      <c r="EIW77" t="s">
        <v>229</v>
      </c>
      <c r="EIX77" t="s">
        <v>633</v>
      </c>
      <c r="EIY77" t="s">
        <v>229</v>
      </c>
      <c r="EIZ77" t="s">
        <v>633</v>
      </c>
      <c r="EJA77" t="s">
        <v>229</v>
      </c>
      <c r="EJB77" t="s">
        <v>633</v>
      </c>
      <c r="EJC77" t="s">
        <v>229</v>
      </c>
      <c r="EJD77" t="s">
        <v>633</v>
      </c>
      <c r="EJE77" t="s">
        <v>229</v>
      </c>
      <c r="EJF77" t="s">
        <v>633</v>
      </c>
      <c r="EJG77" t="s">
        <v>229</v>
      </c>
      <c r="EJH77" t="s">
        <v>633</v>
      </c>
      <c r="EJI77" t="s">
        <v>229</v>
      </c>
      <c r="EJJ77" t="s">
        <v>633</v>
      </c>
      <c r="EJK77" t="s">
        <v>229</v>
      </c>
      <c r="EJL77" t="s">
        <v>633</v>
      </c>
      <c r="EJM77" t="s">
        <v>229</v>
      </c>
      <c r="EJN77" t="s">
        <v>633</v>
      </c>
      <c r="EJO77" t="s">
        <v>229</v>
      </c>
      <c r="EJP77" t="s">
        <v>633</v>
      </c>
      <c r="EJQ77" t="s">
        <v>229</v>
      </c>
      <c r="EJR77" t="s">
        <v>633</v>
      </c>
      <c r="EJS77" t="s">
        <v>229</v>
      </c>
      <c r="EJT77" t="s">
        <v>633</v>
      </c>
      <c r="EJU77" t="s">
        <v>229</v>
      </c>
      <c r="EJV77" t="s">
        <v>633</v>
      </c>
      <c r="EJW77" t="s">
        <v>229</v>
      </c>
      <c r="EJX77" t="s">
        <v>633</v>
      </c>
      <c r="EJY77" t="s">
        <v>229</v>
      </c>
      <c r="EJZ77" t="s">
        <v>633</v>
      </c>
      <c r="EKA77" t="s">
        <v>229</v>
      </c>
      <c r="EKB77" t="s">
        <v>633</v>
      </c>
      <c r="EKC77" t="s">
        <v>229</v>
      </c>
      <c r="EKD77" t="s">
        <v>633</v>
      </c>
      <c r="EKE77" t="s">
        <v>229</v>
      </c>
      <c r="EKF77" t="s">
        <v>633</v>
      </c>
      <c r="EKG77" t="s">
        <v>229</v>
      </c>
      <c r="EKH77" t="s">
        <v>633</v>
      </c>
      <c r="EKI77" t="s">
        <v>229</v>
      </c>
      <c r="EKJ77" t="s">
        <v>633</v>
      </c>
      <c r="EKK77" t="s">
        <v>229</v>
      </c>
      <c r="EKL77" t="s">
        <v>633</v>
      </c>
      <c r="EKM77" t="s">
        <v>229</v>
      </c>
      <c r="EKN77" t="s">
        <v>633</v>
      </c>
      <c r="EKO77" t="s">
        <v>229</v>
      </c>
      <c r="EKP77" t="s">
        <v>633</v>
      </c>
      <c r="EKQ77" t="s">
        <v>229</v>
      </c>
      <c r="EKR77" t="s">
        <v>633</v>
      </c>
      <c r="EKS77" t="s">
        <v>229</v>
      </c>
      <c r="EKT77" t="s">
        <v>633</v>
      </c>
      <c r="EKU77" t="s">
        <v>229</v>
      </c>
      <c r="EKV77" t="s">
        <v>633</v>
      </c>
      <c r="EKW77" t="s">
        <v>229</v>
      </c>
      <c r="EKX77" t="s">
        <v>633</v>
      </c>
      <c r="EKY77" t="s">
        <v>229</v>
      </c>
      <c r="EKZ77" t="s">
        <v>633</v>
      </c>
      <c r="ELA77" t="s">
        <v>229</v>
      </c>
      <c r="ELB77" t="s">
        <v>633</v>
      </c>
      <c r="ELC77" t="s">
        <v>229</v>
      </c>
      <c r="ELD77" t="s">
        <v>633</v>
      </c>
      <c r="ELE77" t="s">
        <v>229</v>
      </c>
      <c r="ELF77" t="s">
        <v>633</v>
      </c>
      <c r="ELG77" t="s">
        <v>229</v>
      </c>
      <c r="ELH77" t="s">
        <v>633</v>
      </c>
      <c r="ELI77" t="s">
        <v>229</v>
      </c>
      <c r="ELJ77" t="s">
        <v>633</v>
      </c>
      <c r="ELK77" t="s">
        <v>229</v>
      </c>
      <c r="ELL77" t="s">
        <v>633</v>
      </c>
      <c r="ELM77" t="s">
        <v>229</v>
      </c>
      <c r="ELN77" t="s">
        <v>633</v>
      </c>
      <c r="ELO77" t="s">
        <v>229</v>
      </c>
      <c r="ELP77" t="s">
        <v>633</v>
      </c>
      <c r="ELQ77" t="s">
        <v>229</v>
      </c>
      <c r="ELR77" t="s">
        <v>633</v>
      </c>
      <c r="ELS77" t="s">
        <v>229</v>
      </c>
      <c r="ELT77" t="s">
        <v>633</v>
      </c>
      <c r="ELU77" t="s">
        <v>229</v>
      </c>
      <c r="ELV77" t="s">
        <v>633</v>
      </c>
      <c r="ELW77" t="s">
        <v>229</v>
      </c>
      <c r="ELX77" t="s">
        <v>633</v>
      </c>
      <c r="ELY77" t="s">
        <v>229</v>
      </c>
      <c r="ELZ77" t="s">
        <v>633</v>
      </c>
      <c r="EMA77" t="s">
        <v>229</v>
      </c>
      <c r="EMB77" t="s">
        <v>633</v>
      </c>
      <c r="EMC77" t="s">
        <v>229</v>
      </c>
      <c r="EMD77" t="s">
        <v>633</v>
      </c>
      <c r="EME77" t="s">
        <v>229</v>
      </c>
      <c r="EMF77" t="s">
        <v>633</v>
      </c>
      <c r="EMG77" t="s">
        <v>229</v>
      </c>
      <c r="EMH77" t="s">
        <v>633</v>
      </c>
      <c r="EMI77" t="s">
        <v>229</v>
      </c>
      <c r="EMJ77" t="s">
        <v>633</v>
      </c>
      <c r="EMK77" t="s">
        <v>229</v>
      </c>
      <c r="EML77" t="s">
        <v>633</v>
      </c>
      <c r="EMM77" t="s">
        <v>229</v>
      </c>
      <c r="EMN77" t="s">
        <v>633</v>
      </c>
      <c r="EMO77" t="s">
        <v>229</v>
      </c>
      <c r="EMP77" t="s">
        <v>633</v>
      </c>
      <c r="EMQ77" t="s">
        <v>229</v>
      </c>
      <c r="EMR77" t="s">
        <v>633</v>
      </c>
      <c r="EMS77" t="s">
        <v>229</v>
      </c>
      <c r="EMT77" t="s">
        <v>633</v>
      </c>
      <c r="EMU77" t="s">
        <v>229</v>
      </c>
      <c r="EMV77" t="s">
        <v>633</v>
      </c>
      <c r="EMW77" t="s">
        <v>229</v>
      </c>
      <c r="EMX77" t="s">
        <v>633</v>
      </c>
      <c r="EMY77" t="s">
        <v>229</v>
      </c>
      <c r="EMZ77" t="s">
        <v>633</v>
      </c>
      <c r="ENA77" t="s">
        <v>229</v>
      </c>
      <c r="ENB77" t="s">
        <v>633</v>
      </c>
      <c r="ENC77" t="s">
        <v>229</v>
      </c>
      <c r="END77" t="s">
        <v>633</v>
      </c>
      <c r="ENE77" t="s">
        <v>229</v>
      </c>
      <c r="ENF77" t="s">
        <v>633</v>
      </c>
      <c r="ENG77" t="s">
        <v>229</v>
      </c>
      <c r="ENH77" t="s">
        <v>633</v>
      </c>
      <c r="ENI77" t="s">
        <v>229</v>
      </c>
      <c r="ENJ77" t="s">
        <v>633</v>
      </c>
      <c r="ENK77" t="s">
        <v>229</v>
      </c>
      <c r="ENL77" t="s">
        <v>633</v>
      </c>
      <c r="ENM77" t="s">
        <v>229</v>
      </c>
      <c r="ENN77" t="s">
        <v>633</v>
      </c>
      <c r="ENO77" t="s">
        <v>229</v>
      </c>
      <c r="ENP77" t="s">
        <v>633</v>
      </c>
      <c r="ENQ77" t="s">
        <v>229</v>
      </c>
      <c r="ENR77" t="s">
        <v>633</v>
      </c>
      <c r="ENS77" t="s">
        <v>229</v>
      </c>
      <c r="ENT77" t="s">
        <v>633</v>
      </c>
      <c r="ENU77" t="s">
        <v>229</v>
      </c>
      <c r="ENV77" t="s">
        <v>633</v>
      </c>
      <c r="ENW77" t="s">
        <v>229</v>
      </c>
      <c r="ENX77" t="s">
        <v>633</v>
      </c>
      <c r="ENY77" t="s">
        <v>229</v>
      </c>
      <c r="ENZ77" t="s">
        <v>633</v>
      </c>
      <c r="EOA77" t="s">
        <v>229</v>
      </c>
      <c r="EOB77" t="s">
        <v>633</v>
      </c>
      <c r="EOC77" t="s">
        <v>229</v>
      </c>
      <c r="EOD77" t="s">
        <v>633</v>
      </c>
      <c r="EOE77" t="s">
        <v>229</v>
      </c>
      <c r="EOF77" t="s">
        <v>633</v>
      </c>
      <c r="EOG77" t="s">
        <v>229</v>
      </c>
      <c r="EOH77" t="s">
        <v>633</v>
      </c>
      <c r="EOI77" t="s">
        <v>229</v>
      </c>
      <c r="EOJ77" t="s">
        <v>633</v>
      </c>
      <c r="EOK77" t="s">
        <v>229</v>
      </c>
      <c r="EOL77" t="s">
        <v>633</v>
      </c>
      <c r="EOM77" t="s">
        <v>229</v>
      </c>
      <c r="EON77" t="s">
        <v>633</v>
      </c>
      <c r="EOO77" t="s">
        <v>229</v>
      </c>
      <c r="EOP77" t="s">
        <v>633</v>
      </c>
      <c r="EOQ77" t="s">
        <v>229</v>
      </c>
      <c r="EOR77" t="s">
        <v>633</v>
      </c>
      <c r="EOS77" t="s">
        <v>229</v>
      </c>
      <c r="EOT77" t="s">
        <v>633</v>
      </c>
      <c r="EOU77" t="s">
        <v>229</v>
      </c>
      <c r="EOV77" t="s">
        <v>633</v>
      </c>
      <c r="EOW77" t="s">
        <v>229</v>
      </c>
      <c r="EOX77" t="s">
        <v>633</v>
      </c>
      <c r="EOY77" t="s">
        <v>229</v>
      </c>
      <c r="EOZ77" t="s">
        <v>633</v>
      </c>
      <c r="EPA77" t="s">
        <v>229</v>
      </c>
      <c r="EPB77" t="s">
        <v>633</v>
      </c>
      <c r="EPC77" t="s">
        <v>229</v>
      </c>
      <c r="EPD77" t="s">
        <v>633</v>
      </c>
      <c r="EPE77" t="s">
        <v>229</v>
      </c>
      <c r="EPF77" t="s">
        <v>633</v>
      </c>
      <c r="EPG77" t="s">
        <v>229</v>
      </c>
      <c r="EPH77" t="s">
        <v>633</v>
      </c>
      <c r="EPI77" t="s">
        <v>229</v>
      </c>
      <c r="EPJ77" t="s">
        <v>633</v>
      </c>
      <c r="EPK77" t="s">
        <v>229</v>
      </c>
      <c r="EPL77" t="s">
        <v>633</v>
      </c>
      <c r="EPM77" t="s">
        <v>229</v>
      </c>
      <c r="EPN77" t="s">
        <v>633</v>
      </c>
      <c r="EPO77" t="s">
        <v>229</v>
      </c>
      <c r="EPP77" t="s">
        <v>633</v>
      </c>
      <c r="EPQ77" t="s">
        <v>229</v>
      </c>
      <c r="EPR77" t="s">
        <v>633</v>
      </c>
      <c r="EPS77" t="s">
        <v>229</v>
      </c>
      <c r="EPT77" t="s">
        <v>633</v>
      </c>
      <c r="EPU77" t="s">
        <v>229</v>
      </c>
      <c r="EPV77" t="s">
        <v>633</v>
      </c>
      <c r="EPW77" t="s">
        <v>229</v>
      </c>
      <c r="EPX77" t="s">
        <v>633</v>
      </c>
      <c r="EPY77" t="s">
        <v>229</v>
      </c>
      <c r="EPZ77" t="s">
        <v>633</v>
      </c>
      <c r="EQA77" t="s">
        <v>229</v>
      </c>
      <c r="EQB77" t="s">
        <v>633</v>
      </c>
      <c r="EQC77" t="s">
        <v>229</v>
      </c>
      <c r="EQD77" t="s">
        <v>633</v>
      </c>
      <c r="EQE77" t="s">
        <v>229</v>
      </c>
      <c r="EQF77" t="s">
        <v>633</v>
      </c>
      <c r="EQG77" t="s">
        <v>229</v>
      </c>
      <c r="EQH77" t="s">
        <v>633</v>
      </c>
      <c r="EQI77" t="s">
        <v>229</v>
      </c>
      <c r="EQJ77" t="s">
        <v>633</v>
      </c>
      <c r="EQK77" t="s">
        <v>229</v>
      </c>
      <c r="EQL77" t="s">
        <v>633</v>
      </c>
      <c r="EQM77" t="s">
        <v>229</v>
      </c>
      <c r="EQN77" t="s">
        <v>633</v>
      </c>
      <c r="EQO77" t="s">
        <v>229</v>
      </c>
      <c r="EQP77" t="s">
        <v>633</v>
      </c>
      <c r="EQQ77" t="s">
        <v>229</v>
      </c>
      <c r="EQR77" t="s">
        <v>633</v>
      </c>
      <c r="EQS77" t="s">
        <v>229</v>
      </c>
      <c r="EQT77" t="s">
        <v>633</v>
      </c>
      <c r="EQU77" t="s">
        <v>229</v>
      </c>
      <c r="EQV77" t="s">
        <v>633</v>
      </c>
      <c r="EQW77" t="s">
        <v>229</v>
      </c>
      <c r="EQX77" t="s">
        <v>633</v>
      </c>
      <c r="EQY77" t="s">
        <v>229</v>
      </c>
      <c r="EQZ77" t="s">
        <v>633</v>
      </c>
      <c r="ERA77" t="s">
        <v>229</v>
      </c>
      <c r="ERB77" t="s">
        <v>633</v>
      </c>
      <c r="ERC77" t="s">
        <v>229</v>
      </c>
      <c r="ERD77" t="s">
        <v>633</v>
      </c>
      <c r="ERE77" t="s">
        <v>229</v>
      </c>
      <c r="ERF77" t="s">
        <v>633</v>
      </c>
      <c r="ERG77" t="s">
        <v>229</v>
      </c>
      <c r="ERH77" t="s">
        <v>633</v>
      </c>
      <c r="ERI77" t="s">
        <v>229</v>
      </c>
      <c r="ERJ77" t="s">
        <v>633</v>
      </c>
      <c r="ERK77" t="s">
        <v>229</v>
      </c>
      <c r="ERL77" t="s">
        <v>633</v>
      </c>
      <c r="ERM77" t="s">
        <v>229</v>
      </c>
      <c r="ERN77" t="s">
        <v>633</v>
      </c>
      <c r="ERO77" t="s">
        <v>229</v>
      </c>
      <c r="ERP77" t="s">
        <v>633</v>
      </c>
      <c r="ERQ77" t="s">
        <v>229</v>
      </c>
      <c r="ERR77" t="s">
        <v>633</v>
      </c>
      <c r="ERS77" t="s">
        <v>229</v>
      </c>
      <c r="ERT77" t="s">
        <v>633</v>
      </c>
      <c r="ERU77" t="s">
        <v>229</v>
      </c>
      <c r="ERV77" t="s">
        <v>633</v>
      </c>
      <c r="ERW77" t="s">
        <v>229</v>
      </c>
      <c r="ERX77" t="s">
        <v>633</v>
      </c>
      <c r="ERY77" t="s">
        <v>229</v>
      </c>
      <c r="ERZ77" t="s">
        <v>633</v>
      </c>
      <c r="ESA77" t="s">
        <v>229</v>
      </c>
      <c r="ESB77" t="s">
        <v>633</v>
      </c>
      <c r="ESC77" t="s">
        <v>229</v>
      </c>
      <c r="ESD77" t="s">
        <v>633</v>
      </c>
      <c r="ESE77" t="s">
        <v>229</v>
      </c>
      <c r="ESF77" t="s">
        <v>633</v>
      </c>
      <c r="ESG77" t="s">
        <v>229</v>
      </c>
      <c r="ESH77" t="s">
        <v>633</v>
      </c>
      <c r="ESI77" t="s">
        <v>229</v>
      </c>
      <c r="ESJ77" t="s">
        <v>633</v>
      </c>
      <c r="ESK77" t="s">
        <v>229</v>
      </c>
      <c r="ESL77" t="s">
        <v>633</v>
      </c>
      <c r="ESM77" t="s">
        <v>229</v>
      </c>
      <c r="ESN77" t="s">
        <v>633</v>
      </c>
      <c r="ESO77" t="s">
        <v>229</v>
      </c>
      <c r="ESP77" t="s">
        <v>633</v>
      </c>
      <c r="ESQ77" t="s">
        <v>229</v>
      </c>
      <c r="ESR77" t="s">
        <v>633</v>
      </c>
      <c r="ESS77" t="s">
        <v>229</v>
      </c>
      <c r="EST77" t="s">
        <v>633</v>
      </c>
      <c r="ESU77" t="s">
        <v>229</v>
      </c>
      <c r="ESV77" t="s">
        <v>633</v>
      </c>
      <c r="ESW77" t="s">
        <v>229</v>
      </c>
      <c r="ESX77" t="s">
        <v>633</v>
      </c>
      <c r="ESY77" t="s">
        <v>229</v>
      </c>
      <c r="ESZ77" t="s">
        <v>633</v>
      </c>
      <c r="ETA77" t="s">
        <v>229</v>
      </c>
      <c r="ETB77" t="s">
        <v>633</v>
      </c>
      <c r="ETC77" t="s">
        <v>229</v>
      </c>
      <c r="ETD77" t="s">
        <v>633</v>
      </c>
      <c r="ETE77" t="s">
        <v>229</v>
      </c>
      <c r="ETF77" t="s">
        <v>633</v>
      </c>
      <c r="ETG77" t="s">
        <v>229</v>
      </c>
      <c r="ETH77" t="s">
        <v>633</v>
      </c>
      <c r="ETI77" t="s">
        <v>229</v>
      </c>
      <c r="ETJ77" t="s">
        <v>633</v>
      </c>
      <c r="ETK77" t="s">
        <v>229</v>
      </c>
      <c r="ETL77" t="s">
        <v>633</v>
      </c>
      <c r="ETM77" t="s">
        <v>229</v>
      </c>
      <c r="ETN77" t="s">
        <v>633</v>
      </c>
      <c r="ETO77" t="s">
        <v>229</v>
      </c>
      <c r="ETP77" t="s">
        <v>633</v>
      </c>
      <c r="ETQ77" t="s">
        <v>229</v>
      </c>
      <c r="ETR77" t="s">
        <v>633</v>
      </c>
      <c r="ETS77" t="s">
        <v>229</v>
      </c>
      <c r="ETT77" t="s">
        <v>633</v>
      </c>
      <c r="ETU77" t="s">
        <v>229</v>
      </c>
      <c r="ETV77" t="s">
        <v>633</v>
      </c>
      <c r="ETW77" t="s">
        <v>229</v>
      </c>
      <c r="ETX77" t="s">
        <v>633</v>
      </c>
      <c r="ETY77" t="s">
        <v>229</v>
      </c>
      <c r="ETZ77" t="s">
        <v>633</v>
      </c>
      <c r="EUA77" t="s">
        <v>229</v>
      </c>
      <c r="EUB77" t="s">
        <v>633</v>
      </c>
      <c r="EUC77" t="s">
        <v>229</v>
      </c>
      <c r="EUD77" t="s">
        <v>633</v>
      </c>
      <c r="EUE77" t="s">
        <v>229</v>
      </c>
      <c r="EUF77" t="s">
        <v>633</v>
      </c>
      <c r="EUG77" t="s">
        <v>229</v>
      </c>
      <c r="EUH77" t="s">
        <v>633</v>
      </c>
      <c r="EUI77" t="s">
        <v>229</v>
      </c>
      <c r="EUJ77" t="s">
        <v>633</v>
      </c>
      <c r="EUK77" t="s">
        <v>229</v>
      </c>
      <c r="EUL77" t="s">
        <v>633</v>
      </c>
      <c r="EUM77" t="s">
        <v>229</v>
      </c>
      <c r="EUN77" t="s">
        <v>633</v>
      </c>
      <c r="EUO77" t="s">
        <v>229</v>
      </c>
      <c r="EUP77" t="s">
        <v>633</v>
      </c>
      <c r="EUQ77" t="s">
        <v>229</v>
      </c>
      <c r="EUR77" t="s">
        <v>633</v>
      </c>
      <c r="EUS77" t="s">
        <v>229</v>
      </c>
      <c r="EUT77" t="s">
        <v>633</v>
      </c>
      <c r="EUU77" t="s">
        <v>229</v>
      </c>
      <c r="EUV77" t="s">
        <v>633</v>
      </c>
      <c r="EUW77" t="s">
        <v>229</v>
      </c>
      <c r="EUX77" t="s">
        <v>633</v>
      </c>
      <c r="EUY77" t="s">
        <v>229</v>
      </c>
      <c r="EUZ77" t="s">
        <v>633</v>
      </c>
      <c r="EVA77" t="s">
        <v>229</v>
      </c>
      <c r="EVB77" t="s">
        <v>633</v>
      </c>
      <c r="EVC77" t="s">
        <v>229</v>
      </c>
      <c r="EVD77" t="s">
        <v>633</v>
      </c>
      <c r="EVE77" t="s">
        <v>229</v>
      </c>
      <c r="EVF77" t="s">
        <v>633</v>
      </c>
      <c r="EVG77" t="s">
        <v>229</v>
      </c>
      <c r="EVH77" t="s">
        <v>633</v>
      </c>
      <c r="EVI77" t="s">
        <v>229</v>
      </c>
      <c r="EVJ77" t="s">
        <v>633</v>
      </c>
      <c r="EVK77" t="s">
        <v>229</v>
      </c>
      <c r="EVL77" t="s">
        <v>633</v>
      </c>
      <c r="EVM77" t="s">
        <v>229</v>
      </c>
      <c r="EVN77" t="s">
        <v>633</v>
      </c>
      <c r="EVO77" t="s">
        <v>229</v>
      </c>
      <c r="EVP77" t="s">
        <v>633</v>
      </c>
      <c r="EVQ77" t="s">
        <v>229</v>
      </c>
      <c r="EVR77" t="s">
        <v>633</v>
      </c>
      <c r="EVS77" t="s">
        <v>229</v>
      </c>
      <c r="EVT77" t="s">
        <v>633</v>
      </c>
      <c r="EVU77" t="s">
        <v>229</v>
      </c>
      <c r="EVV77" t="s">
        <v>633</v>
      </c>
      <c r="EVW77" t="s">
        <v>229</v>
      </c>
      <c r="EVX77" t="s">
        <v>633</v>
      </c>
      <c r="EVY77" t="s">
        <v>229</v>
      </c>
      <c r="EVZ77" t="s">
        <v>633</v>
      </c>
      <c r="EWA77" t="s">
        <v>229</v>
      </c>
      <c r="EWB77" t="s">
        <v>633</v>
      </c>
      <c r="EWC77" t="s">
        <v>229</v>
      </c>
      <c r="EWD77" t="s">
        <v>633</v>
      </c>
      <c r="EWE77" t="s">
        <v>229</v>
      </c>
      <c r="EWF77" t="s">
        <v>633</v>
      </c>
      <c r="EWG77" t="s">
        <v>229</v>
      </c>
      <c r="EWH77" t="s">
        <v>633</v>
      </c>
      <c r="EWI77" t="s">
        <v>229</v>
      </c>
      <c r="EWJ77" t="s">
        <v>633</v>
      </c>
      <c r="EWK77" t="s">
        <v>229</v>
      </c>
      <c r="EWL77" t="s">
        <v>633</v>
      </c>
      <c r="EWM77" t="s">
        <v>229</v>
      </c>
      <c r="EWN77" t="s">
        <v>633</v>
      </c>
      <c r="EWO77" t="s">
        <v>229</v>
      </c>
      <c r="EWP77" t="s">
        <v>633</v>
      </c>
      <c r="EWQ77" t="s">
        <v>229</v>
      </c>
      <c r="EWR77" t="s">
        <v>633</v>
      </c>
      <c r="EWS77" t="s">
        <v>229</v>
      </c>
      <c r="EWT77" t="s">
        <v>633</v>
      </c>
      <c r="EWU77" t="s">
        <v>229</v>
      </c>
      <c r="EWV77" t="s">
        <v>633</v>
      </c>
      <c r="EWW77" t="s">
        <v>229</v>
      </c>
      <c r="EWX77" t="s">
        <v>633</v>
      </c>
      <c r="EWY77" t="s">
        <v>229</v>
      </c>
      <c r="EWZ77" t="s">
        <v>633</v>
      </c>
      <c r="EXA77" t="s">
        <v>229</v>
      </c>
      <c r="EXB77" t="s">
        <v>633</v>
      </c>
      <c r="EXC77" t="s">
        <v>229</v>
      </c>
      <c r="EXD77" t="s">
        <v>633</v>
      </c>
      <c r="EXE77" t="s">
        <v>229</v>
      </c>
      <c r="EXF77" t="s">
        <v>633</v>
      </c>
      <c r="EXG77" t="s">
        <v>229</v>
      </c>
      <c r="EXH77" t="s">
        <v>633</v>
      </c>
      <c r="EXI77" t="s">
        <v>229</v>
      </c>
      <c r="EXJ77" t="s">
        <v>633</v>
      </c>
      <c r="EXK77" t="s">
        <v>229</v>
      </c>
      <c r="EXL77" t="s">
        <v>633</v>
      </c>
      <c r="EXM77" t="s">
        <v>229</v>
      </c>
      <c r="EXN77" t="s">
        <v>633</v>
      </c>
      <c r="EXO77" t="s">
        <v>229</v>
      </c>
      <c r="EXP77" t="s">
        <v>633</v>
      </c>
      <c r="EXQ77" t="s">
        <v>229</v>
      </c>
      <c r="EXR77" t="s">
        <v>633</v>
      </c>
      <c r="EXS77" t="s">
        <v>229</v>
      </c>
      <c r="EXT77" t="s">
        <v>633</v>
      </c>
      <c r="EXU77" t="s">
        <v>229</v>
      </c>
      <c r="EXV77" t="s">
        <v>633</v>
      </c>
      <c r="EXW77" t="s">
        <v>229</v>
      </c>
      <c r="EXX77" t="s">
        <v>633</v>
      </c>
      <c r="EXY77" t="s">
        <v>229</v>
      </c>
      <c r="EXZ77" t="s">
        <v>633</v>
      </c>
      <c r="EYA77" t="s">
        <v>229</v>
      </c>
      <c r="EYB77" t="s">
        <v>633</v>
      </c>
      <c r="EYC77" t="s">
        <v>229</v>
      </c>
      <c r="EYD77" t="s">
        <v>633</v>
      </c>
      <c r="EYE77" t="s">
        <v>229</v>
      </c>
      <c r="EYF77" t="s">
        <v>633</v>
      </c>
      <c r="EYG77" t="s">
        <v>229</v>
      </c>
      <c r="EYH77" t="s">
        <v>633</v>
      </c>
      <c r="EYI77" t="s">
        <v>229</v>
      </c>
      <c r="EYJ77" t="s">
        <v>633</v>
      </c>
      <c r="EYK77" t="s">
        <v>229</v>
      </c>
      <c r="EYL77" t="s">
        <v>633</v>
      </c>
      <c r="EYM77" t="s">
        <v>229</v>
      </c>
      <c r="EYN77" t="s">
        <v>633</v>
      </c>
      <c r="EYO77" t="s">
        <v>229</v>
      </c>
      <c r="EYP77" t="s">
        <v>633</v>
      </c>
      <c r="EYQ77" t="s">
        <v>229</v>
      </c>
      <c r="EYR77" t="s">
        <v>633</v>
      </c>
      <c r="EYS77" t="s">
        <v>229</v>
      </c>
      <c r="EYT77" t="s">
        <v>633</v>
      </c>
      <c r="EYU77" t="s">
        <v>229</v>
      </c>
      <c r="EYV77" t="s">
        <v>633</v>
      </c>
      <c r="EYW77" t="s">
        <v>229</v>
      </c>
      <c r="EYX77" t="s">
        <v>633</v>
      </c>
      <c r="EYY77" t="s">
        <v>229</v>
      </c>
      <c r="EYZ77" t="s">
        <v>633</v>
      </c>
      <c r="EZA77" t="s">
        <v>229</v>
      </c>
      <c r="EZB77" t="s">
        <v>633</v>
      </c>
      <c r="EZC77" t="s">
        <v>229</v>
      </c>
      <c r="EZD77" t="s">
        <v>633</v>
      </c>
      <c r="EZE77" t="s">
        <v>229</v>
      </c>
      <c r="EZF77" t="s">
        <v>633</v>
      </c>
      <c r="EZG77" t="s">
        <v>229</v>
      </c>
      <c r="EZH77" t="s">
        <v>633</v>
      </c>
      <c r="EZI77" t="s">
        <v>229</v>
      </c>
      <c r="EZJ77" t="s">
        <v>633</v>
      </c>
      <c r="EZK77" t="s">
        <v>229</v>
      </c>
      <c r="EZL77" t="s">
        <v>633</v>
      </c>
      <c r="EZM77" t="s">
        <v>229</v>
      </c>
      <c r="EZN77" t="s">
        <v>633</v>
      </c>
      <c r="EZO77" t="s">
        <v>229</v>
      </c>
      <c r="EZP77" t="s">
        <v>633</v>
      </c>
      <c r="EZQ77" t="s">
        <v>229</v>
      </c>
      <c r="EZR77" t="s">
        <v>633</v>
      </c>
      <c r="EZS77" t="s">
        <v>229</v>
      </c>
      <c r="EZT77" t="s">
        <v>633</v>
      </c>
      <c r="EZU77" t="s">
        <v>229</v>
      </c>
      <c r="EZV77" t="s">
        <v>633</v>
      </c>
      <c r="EZW77" t="s">
        <v>229</v>
      </c>
      <c r="EZX77" t="s">
        <v>633</v>
      </c>
      <c r="EZY77" t="s">
        <v>229</v>
      </c>
      <c r="EZZ77" t="s">
        <v>633</v>
      </c>
      <c r="FAA77" t="s">
        <v>229</v>
      </c>
      <c r="FAB77" t="s">
        <v>633</v>
      </c>
      <c r="FAC77" t="s">
        <v>229</v>
      </c>
      <c r="FAD77" t="s">
        <v>633</v>
      </c>
      <c r="FAE77" t="s">
        <v>229</v>
      </c>
      <c r="FAF77" t="s">
        <v>633</v>
      </c>
      <c r="FAG77" t="s">
        <v>229</v>
      </c>
      <c r="FAH77" t="s">
        <v>633</v>
      </c>
      <c r="FAI77" t="s">
        <v>229</v>
      </c>
      <c r="FAJ77" t="s">
        <v>633</v>
      </c>
      <c r="FAK77" t="s">
        <v>229</v>
      </c>
      <c r="FAL77" t="s">
        <v>633</v>
      </c>
      <c r="FAM77" t="s">
        <v>229</v>
      </c>
      <c r="FAN77" t="s">
        <v>633</v>
      </c>
      <c r="FAO77" t="s">
        <v>229</v>
      </c>
      <c r="FAP77" t="s">
        <v>633</v>
      </c>
      <c r="FAQ77" t="s">
        <v>229</v>
      </c>
      <c r="FAR77" t="s">
        <v>633</v>
      </c>
      <c r="FAS77" t="s">
        <v>229</v>
      </c>
      <c r="FAT77" t="s">
        <v>633</v>
      </c>
      <c r="FAU77" t="s">
        <v>229</v>
      </c>
      <c r="FAV77" t="s">
        <v>633</v>
      </c>
      <c r="FAW77" t="s">
        <v>229</v>
      </c>
      <c r="FAX77" t="s">
        <v>633</v>
      </c>
      <c r="FAY77" t="s">
        <v>229</v>
      </c>
      <c r="FAZ77" t="s">
        <v>633</v>
      </c>
      <c r="FBA77" t="s">
        <v>229</v>
      </c>
      <c r="FBB77" t="s">
        <v>633</v>
      </c>
      <c r="FBC77" t="s">
        <v>229</v>
      </c>
      <c r="FBD77" t="s">
        <v>633</v>
      </c>
      <c r="FBE77" t="s">
        <v>229</v>
      </c>
      <c r="FBF77" t="s">
        <v>633</v>
      </c>
      <c r="FBG77" t="s">
        <v>229</v>
      </c>
      <c r="FBH77" t="s">
        <v>633</v>
      </c>
      <c r="FBI77" t="s">
        <v>229</v>
      </c>
      <c r="FBJ77" t="s">
        <v>633</v>
      </c>
      <c r="FBK77" t="s">
        <v>229</v>
      </c>
      <c r="FBL77" t="s">
        <v>633</v>
      </c>
      <c r="FBM77" t="s">
        <v>229</v>
      </c>
      <c r="FBN77" t="s">
        <v>633</v>
      </c>
      <c r="FBO77" t="s">
        <v>229</v>
      </c>
      <c r="FBP77" t="s">
        <v>633</v>
      </c>
      <c r="FBQ77" t="s">
        <v>229</v>
      </c>
      <c r="FBR77" t="s">
        <v>633</v>
      </c>
      <c r="FBS77" t="s">
        <v>229</v>
      </c>
      <c r="FBT77" t="s">
        <v>633</v>
      </c>
      <c r="FBU77" t="s">
        <v>229</v>
      </c>
      <c r="FBV77" t="s">
        <v>633</v>
      </c>
      <c r="FBW77" t="s">
        <v>229</v>
      </c>
      <c r="FBX77" t="s">
        <v>633</v>
      </c>
      <c r="FBY77" t="s">
        <v>229</v>
      </c>
      <c r="FBZ77" t="s">
        <v>633</v>
      </c>
      <c r="FCA77" t="s">
        <v>229</v>
      </c>
      <c r="FCB77" t="s">
        <v>633</v>
      </c>
      <c r="FCC77" t="s">
        <v>229</v>
      </c>
      <c r="FCD77" t="s">
        <v>633</v>
      </c>
      <c r="FCE77" t="s">
        <v>229</v>
      </c>
      <c r="FCF77" t="s">
        <v>633</v>
      </c>
      <c r="FCG77" t="s">
        <v>229</v>
      </c>
      <c r="FCH77" t="s">
        <v>633</v>
      </c>
      <c r="FCI77" t="s">
        <v>229</v>
      </c>
      <c r="FCJ77" t="s">
        <v>633</v>
      </c>
      <c r="FCK77" t="s">
        <v>229</v>
      </c>
      <c r="FCL77" t="s">
        <v>633</v>
      </c>
      <c r="FCM77" t="s">
        <v>229</v>
      </c>
      <c r="FCN77" t="s">
        <v>633</v>
      </c>
      <c r="FCO77" t="s">
        <v>229</v>
      </c>
      <c r="FCP77" t="s">
        <v>633</v>
      </c>
      <c r="FCQ77" t="s">
        <v>229</v>
      </c>
      <c r="FCR77" t="s">
        <v>633</v>
      </c>
      <c r="FCS77" t="s">
        <v>229</v>
      </c>
      <c r="FCT77" t="s">
        <v>633</v>
      </c>
      <c r="FCU77" t="s">
        <v>229</v>
      </c>
      <c r="FCV77" t="s">
        <v>633</v>
      </c>
      <c r="FCW77" t="s">
        <v>229</v>
      </c>
      <c r="FCX77" t="s">
        <v>633</v>
      </c>
      <c r="FCY77" t="s">
        <v>229</v>
      </c>
      <c r="FCZ77" t="s">
        <v>633</v>
      </c>
      <c r="FDA77" t="s">
        <v>229</v>
      </c>
      <c r="FDB77" t="s">
        <v>633</v>
      </c>
      <c r="FDC77" t="s">
        <v>229</v>
      </c>
      <c r="FDD77" t="s">
        <v>633</v>
      </c>
      <c r="FDE77" t="s">
        <v>229</v>
      </c>
      <c r="FDF77" t="s">
        <v>633</v>
      </c>
      <c r="FDG77" t="s">
        <v>229</v>
      </c>
      <c r="FDH77" t="s">
        <v>633</v>
      </c>
      <c r="FDI77" t="s">
        <v>229</v>
      </c>
      <c r="FDJ77" t="s">
        <v>633</v>
      </c>
      <c r="FDK77" t="s">
        <v>229</v>
      </c>
      <c r="FDL77" t="s">
        <v>633</v>
      </c>
      <c r="FDM77" t="s">
        <v>229</v>
      </c>
      <c r="FDN77" t="s">
        <v>633</v>
      </c>
      <c r="FDO77" t="s">
        <v>229</v>
      </c>
      <c r="FDP77" t="s">
        <v>633</v>
      </c>
      <c r="FDQ77" t="s">
        <v>229</v>
      </c>
      <c r="FDR77" t="s">
        <v>633</v>
      </c>
      <c r="FDS77" t="s">
        <v>229</v>
      </c>
      <c r="FDT77" t="s">
        <v>633</v>
      </c>
      <c r="FDU77" t="s">
        <v>229</v>
      </c>
      <c r="FDV77" t="s">
        <v>633</v>
      </c>
      <c r="FDW77" t="s">
        <v>229</v>
      </c>
      <c r="FDX77" t="s">
        <v>633</v>
      </c>
      <c r="FDY77" t="s">
        <v>229</v>
      </c>
      <c r="FDZ77" t="s">
        <v>633</v>
      </c>
      <c r="FEA77" t="s">
        <v>229</v>
      </c>
      <c r="FEB77" t="s">
        <v>633</v>
      </c>
      <c r="FEC77" t="s">
        <v>229</v>
      </c>
      <c r="FED77" t="s">
        <v>633</v>
      </c>
      <c r="FEE77" t="s">
        <v>229</v>
      </c>
      <c r="FEF77" t="s">
        <v>633</v>
      </c>
      <c r="FEG77" t="s">
        <v>229</v>
      </c>
      <c r="FEH77" t="s">
        <v>633</v>
      </c>
      <c r="FEI77" t="s">
        <v>229</v>
      </c>
      <c r="FEJ77" t="s">
        <v>633</v>
      </c>
      <c r="FEK77" t="s">
        <v>229</v>
      </c>
      <c r="FEL77" t="s">
        <v>633</v>
      </c>
      <c r="FEM77" t="s">
        <v>229</v>
      </c>
      <c r="FEN77" t="s">
        <v>633</v>
      </c>
      <c r="FEO77" t="s">
        <v>229</v>
      </c>
      <c r="FEP77" t="s">
        <v>633</v>
      </c>
      <c r="FEQ77" t="s">
        <v>229</v>
      </c>
      <c r="FER77" t="s">
        <v>633</v>
      </c>
      <c r="FES77" t="s">
        <v>229</v>
      </c>
      <c r="FET77" t="s">
        <v>633</v>
      </c>
      <c r="FEU77" t="s">
        <v>229</v>
      </c>
      <c r="FEV77" t="s">
        <v>633</v>
      </c>
      <c r="FEW77" t="s">
        <v>229</v>
      </c>
      <c r="FEX77" t="s">
        <v>633</v>
      </c>
      <c r="FEY77" t="s">
        <v>229</v>
      </c>
      <c r="FEZ77" t="s">
        <v>633</v>
      </c>
      <c r="FFA77" t="s">
        <v>229</v>
      </c>
      <c r="FFB77" t="s">
        <v>633</v>
      </c>
      <c r="FFC77" t="s">
        <v>229</v>
      </c>
      <c r="FFD77" t="s">
        <v>633</v>
      </c>
      <c r="FFE77" t="s">
        <v>229</v>
      </c>
      <c r="FFF77" t="s">
        <v>633</v>
      </c>
      <c r="FFG77" t="s">
        <v>229</v>
      </c>
      <c r="FFH77" t="s">
        <v>633</v>
      </c>
      <c r="FFI77" t="s">
        <v>229</v>
      </c>
      <c r="FFJ77" t="s">
        <v>633</v>
      </c>
      <c r="FFK77" t="s">
        <v>229</v>
      </c>
      <c r="FFL77" t="s">
        <v>633</v>
      </c>
      <c r="FFM77" t="s">
        <v>229</v>
      </c>
      <c r="FFN77" t="s">
        <v>633</v>
      </c>
      <c r="FFO77" t="s">
        <v>229</v>
      </c>
      <c r="FFP77" t="s">
        <v>633</v>
      </c>
      <c r="FFQ77" t="s">
        <v>229</v>
      </c>
      <c r="FFR77" t="s">
        <v>633</v>
      </c>
      <c r="FFS77" t="s">
        <v>229</v>
      </c>
      <c r="FFT77" t="s">
        <v>633</v>
      </c>
      <c r="FFU77" t="s">
        <v>229</v>
      </c>
      <c r="FFV77" t="s">
        <v>633</v>
      </c>
      <c r="FFW77" t="s">
        <v>229</v>
      </c>
      <c r="FFX77" t="s">
        <v>633</v>
      </c>
      <c r="FFY77" t="s">
        <v>229</v>
      </c>
      <c r="FFZ77" t="s">
        <v>633</v>
      </c>
      <c r="FGA77" t="s">
        <v>229</v>
      </c>
      <c r="FGB77" t="s">
        <v>633</v>
      </c>
      <c r="FGC77" t="s">
        <v>229</v>
      </c>
      <c r="FGD77" t="s">
        <v>633</v>
      </c>
      <c r="FGE77" t="s">
        <v>229</v>
      </c>
      <c r="FGF77" t="s">
        <v>633</v>
      </c>
      <c r="FGG77" t="s">
        <v>229</v>
      </c>
      <c r="FGH77" t="s">
        <v>633</v>
      </c>
      <c r="FGI77" t="s">
        <v>229</v>
      </c>
      <c r="FGJ77" t="s">
        <v>633</v>
      </c>
      <c r="FGK77" t="s">
        <v>229</v>
      </c>
      <c r="FGL77" t="s">
        <v>633</v>
      </c>
      <c r="FGM77" t="s">
        <v>229</v>
      </c>
      <c r="FGN77" t="s">
        <v>633</v>
      </c>
      <c r="FGO77" t="s">
        <v>229</v>
      </c>
      <c r="FGP77" t="s">
        <v>633</v>
      </c>
      <c r="FGQ77" t="s">
        <v>229</v>
      </c>
      <c r="FGR77" t="s">
        <v>633</v>
      </c>
      <c r="FGS77" t="s">
        <v>229</v>
      </c>
      <c r="FGT77" t="s">
        <v>633</v>
      </c>
      <c r="FGU77" t="s">
        <v>229</v>
      </c>
      <c r="FGV77" t="s">
        <v>633</v>
      </c>
      <c r="FGW77" t="s">
        <v>229</v>
      </c>
      <c r="FGX77" t="s">
        <v>633</v>
      </c>
      <c r="FGY77" t="s">
        <v>229</v>
      </c>
      <c r="FGZ77" t="s">
        <v>633</v>
      </c>
      <c r="FHA77" t="s">
        <v>229</v>
      </c>
      <c r="FHB77" t="s">
        <v>633</v>
      </c>
      <c r="FHC77" t="s">
        <v>229</v>
      </c>
      <c r="FHD77" t="s">
        <v>633</v>
      </c>
      <c r="FHE77" t="s">
        <v>229</v>
      </c>
      <c r="FHF77" t="s">
        <v>633</v>
      </c>
      <c r="FHG77" t="s">
        <v>229</v>
      </c>
      <c r="FHH77" t="s">
        <v>633</v>
      </c>
      <c r="FHI77" t="s">
        <v>229</v>
      </c>
      <c r="FHJ77" t="s">
        <v>633</v>
      </c>
      <c r="FHK77" t="s">
        <v>229</v>
      </c>
      <c r="FHL77" t="s">
        <v>633</v>
      </c>
      <c r="FHM77" t="s">
        <v>229</v>
      </c>
      <c r="FHN77" t="s">
        <v>633</v>
      </c>
      <c r="FHO77" t="s">
        <v>229</v>
      </c>
      <c r="FHP77" t="s">
        <v>633</v>
      </c>
      <c r="FHQ77" t="s">
        <v>229</v>
      </c>
      <c r="FHR77" t="s">
        <v>633</v>
      </c>
      <c r="FHS77" t="s">
        <v>229</v>
      </c>
      <c r="FHT77" t="s">
        <v>633</v>
      </c>
      <c r="FHU77" t="s">
        <v>229</v>
      </c>
      <c r="FHV77" t="s">
        <v>633</v>
      </c>
      <c r="FHW77" t="s">
        <v>229</v>
      </c>
      <c r="FHX77" t="s">
        <v>633</v>
      </c>
      <c r="FHY77" t="s">
        <v>229</v>
      </c>
      <c r="FHZ77" t="s">
        <v>633</v>
      </c>
      <c r="FIA77" t="s">
        <v>229</v>
      </c>
      <c r="FIB77" t="s">
        <v>633</v>
      </c>
      <c r="FIC77" t="s">
        <v>229</v>
      </c>
      <c r="FID77" t="s">
        <v>633</v>
      </c>
      <c r="FIE77" t="s">
        <v>229</v>
      </c>
      <c r="FIF77" t="s">
        <v>633</v>
      </c>
      <c r="FIG77" t="s">
        <v>229</v>
      </c>
      <c r="FIH77" t="s">
        <v>633</v>
      </c>
      <c r="FII77" t="s">
        <v>229</v>
      </c>
      <c r="FIJ77" t="s">
        <v>633</v>
      </c>
      <c r="FIK77" t="s">
        <v>229</v>
      </c>
      <c r="FIL77" t="s">
        <v>633</v>
      </c>
      <c r="FIM77" t="s">
        <v>229</v>
      </c>
      <c r="FIN77" t="s">
        <v>633</v>
      </c>
      <c r="FIO77" t="s">
        <v>229</v>
      </c>
      <c r="FIP77" t="s">
        <v>633</v>
      </c>
      <c r="FIQ77" t="s">
        <v>229</v>
      </c>
      <c r="FIR77" t="s">
        <v>633</v>
      </c>
      <c r="FIS77" t="s">
        <v>229</v>
      </c>
      <c r="FIT77" t="s">
        <v>633</v>
      </c>
      <c r="FIU77" t="s">
        <v>229</v>
      </c>
      <c r="FIV77" t="s">
        <v>633</v>
      </c>
      <c r="FIW77" t="s">
        <v>229</v>
      </c>
      <c r="FIX77" t="s">
        <v>633</v>
      </c>
      <c r="FIY77" t="s">
        <v>229</v>
      </c>
      <c r="FIZ77" t="s">
        <v>633</v>
      </c>
      <c r="FJA77" t="s">
        <v>229</v>
      </c>
      <c r="FJB77" t="s">
        <v>633</v>
      </c>
      <c r="FJC77" t="s">
        <v>229</v>
      </c>
      <c r="FJD77" t="s">
        <v>633</v>
      </c>
      <c r="FJE77" t="s">
        <v>229</v>
      </c>
      <c r="FJF77" t="s">
        <v>633</v>
      </c>
      <c r="FJG77" t="s">
        <v>229</v>
      </c>
      <c r="FJH77" t="s">
        <v>633</v>
      </c>
      <c r="FJI77" t="s">
        <v>229</v>
      </c>
      <c r="FJJ77" t="s">
        <v>633</v>
      </c>
      <c r="FJK77" t="s">
        <v>229</v>
      </c>
      <c r="FJL77" t="s">
        <v>633</v>
      </c>
      <c r="FJM77" t="s">
        <v>229</v>
      </c>
      <c r="FJN77" t="s">
        <v>633</v>
      </c>
      <c r="FJO77" t="s">
        <v>229</v>
      </c>
      <c r="FJP77" t="s">
        <v>633</v>
      </c>
      <c r="FJQ77" t="s">
        <v>229</v>
      </c>
      <c r="FJR77" t="s">
        <v>633</v>
      </c>
      <c r="FJS77" t="s">
        <v>229</v>
      </c>
      <c r="FJT77" t="s">
        <v>633</v>
      </c>
      <c r="FJU77" t="s">
        <v>229</v>
      </c>
      <c r="FJV77" t="s">
        <v>633</v>
      </c>
      <c r="FJW77" t="s">
        <v>229</v>
      </c>
      <c r="FJX77" t="s">
        <v>633</v>
      </c>
      <c r="FJY77" t="s">
        <v>229</v>
      </c>
      <c r="FJZ77" t="s">
        <v>633</v>
      </c>
      <c r="FKA77" t="s">
        <v>229</v>
      </c>
      <c r="FKB77" t="s">
        <v>633</v>
      </c>
      <c r="FKC77" t="s">
        <v>229</v>
      </c>
      <c r="FKD77" t="s">
        <v>633</v>
      </c>
      <c r="FKE77" t="s">
        <v>229</v>
      </c>
      <c r="FKF77" t="s">
        <v>633</v>
      </c>
      <c r="FKG77" t="s">
        <v>229</v>
      </c>
      <c r="FKH77" t="s">
        <v>633</v>
      </c>
      <c r="FKI77" t="s">
        <v>229</v>
      </c>
      <c r="FKJ77" t="s">
        <v>633</v>
      </c>
      <c r="FKK77" t="s">
        <v>229</v>
      </c>
      <c r="FKL77" t="s">
        <v>633</v>
      </c>
      <c r="FKM77" t="s">
        <v>229</v>
      </c>
      <c r="FKN77" t="s">
        <v>633</v>
      </c>
      <c r="FKO77" t="s">
        <v>229</v>
      </c>
      <c r="FKP77" t="s">
        <v>633</v>
      </c>
      <c r="FKQ77" t="s">
        <v>229</v>
      </c>
      <c r="FKR77" t="s">
        <v>633</v>
      </c>
      <c r="FKS77" t="s">
        <v>229</v>
      </c>
      <c r="FKT77" t="s">
        <v>633</v>
      </c>
      <c r="FKU77" t="s">
        <v>229</v>
      </c>
      <c r="FKV77" t="s">
        <v>633</v>
      </c>
      <c r="FKW77" t="s">
        <v>229</v>
      </c>
      <c r="FKX77" t="s">
        <v>633</v>
      </c>
      <c r="FKY77" t="s">
        <v>229</v>
      </c>
      <c r="FKZ77" t="s">
        <v>633</v>
      </c>
      <c r="FLA77" t="s">
        <v>229</v>
      </c>
      <c r="FLB77" t="s">
        <v>633</v>
      </c>
      <c r="FLC77" t="s">
        <v>229</v>
      </c>
      <c r="FLD77" t="s">
        <v>633</v>
      </c>
      <c r="FLE77" t="s">
        <v>229</v>
      </c>
      <c r="FLF77" t="s">
        <v>633</v>
      </c>
      <c r="FLG77" t="s">
        <v>229</v>
      </c>
      <c r="FLH77" t="s">
        <v>633</v>
      </c>
      <c r="FLI77" t="s">
        <v>229</v>
      </c>
      <c r="FLJ77" t="s">
        <v>633</v>
      </c>
      <c r="FLK77" t="s">
        <v>229</v>
      </c>
      <c r="FLL77" t="s">
        <v>633</v>
      </c>
      <c r="FLM77" t="s">
        <v>229</v>
      </c>
      <c r="FLN77" t="s">
        <v>633</v>
      </c>
      <c r="FLO77" t="s">
        <v>229</v>
      </c>
      <c r="FLP77" t="s">
        <v>633</v>
      </c>
      <c r="FLQ77" t="s">
        <v>229</v>
      </c>
      <c r="FLR77" t="s">
        <v>633</v>
      </c>
      <c r="FLS77" t="s">
        <v>229</v>
      </c>
      <c r="FLT77" t="s">
        <v>633</v>
      </c>
      <c r="FLU77" t="s">
        <v>229</v>
      </c>
      <c r="FLV77" t="s">
        <v>633</v>
      </c>
      <c r="FLW77" t="s">
        <v>229</v>
      </c>
      <c r="FLX77" t="s">
        <v>633</v>
      </c>
      <c r="FLY77" t="s">
        <v>229</v>
      </c>
      <c r="FLZ77" t="s">
        <v>633</v>
      </c>
      <c r="FMA77" t="s">
        <v>229</v>
      </c>
      <c r="FMB77" t="s">
        <v>633</v>
      </c>
      <c r="FMC77" t="s">
        <v>229</v>
      </c>
      <c r="FMD77" t="s">
        <v>633</v>
      </c>
      <c r="FME77" t="s">
        <v>229</v>
      </c>
      <c r="FMF77" t="s">
        <v>633</v>
      </c>
      <c r="FMG77" t="s">
        <v>229</v>
      </c>
      <c r="FMH77" t="s">
        <v>633</v>
      </c>
      <c r="FMI77" t="s">
        <v>229</v>
      </c>
      <c r="FMJ77" t="s">
        <v>633</v>
      </c>
      <c r="FMK77" t="s">
        <v>229</v>
      </c>
      <c r="FML77" t="s">
        <v>633</v>
      </c>
      <c r="FMM77" t="s">
        <v>229</v>
      </c>
      <c r="FMN77" t="s">
        <v>633</v>
      </c>
      <c r="FMO77" t="s">
        <v>229</v>
      </c>
      <c r="FMP77" t="s">
        <v>633</v>
      </c>
      <c r="FMQ77" t="s">
        <v>229</v>
      </c>
      <c r="FMR77" t="s">
        <v>633</v>
      </c>
      <c r="FMS77" t="s">
        <v>229</v>
      </c>
      <c r="FMT77" t="s">
        <v>633</v>
      </c>
      <c r="FMU77" t="s">
        <v>229</v>
      </c>
      <c r="FMV77" t="s">
        <v>633</v>
      </c>
      <c r="FMW77" t="s">
        <v>229</v>
      </c>
      <c r="FMX77" t="s">
        <v>633</v>
      </c>
      <c r="FMY77" t="s">
        <v>229</v>
      </c>
      <c r="FMZ77" t="s">
        <v>633</v>
      </c>
      <c r="FNA77" t="s">
        <v>229</v>
      </c>
      <c r="FNB77" t="s">
        <v>633</v>
      </c>
      <c r="FNC77" t="s">
        <v>229</v>
      </c>
      <c r="FND77" t="s">
        <v>633</v>
      </c>
      <c r="FNE77" t="s">
        <v>229</v>
      </c>
      <c r="FNF77" t="s">
        <v>633</v>
      </c>
      <c r="FNG77" t="s">
        <v>229</v>
      </c>
      <c r="FNH77" t="s">
        <v>633</v>
      </c>
      <c r="FNI77" t="s">
        <v>229</v>
      </c>
      <c r="FNJ77" t="s">
        <v>633</v>
      </c>
      <c r="FNK77" t="s">
        <v>229</v>
      </c>
      <c r="FNL77" t="s">
        <v>633</v>
      </c>
      <c r="FNM77" t="s">
        <v>229</v>
      </c>
      <c r="FNN77" t="s">
        <v>633</v>
      </c>
      <c r="FNO77" t="s">
        <v>229</v>
      </c>
      <c r="FNP77" t="s">
        <v>633</v>
      </c>
      <c r="FNQ77" t="s">
        <v>229</v>
      </c>
      <c r="FNR77" t="s">
        <v>633</v>
      </c>
      <c r="FNS77" t="s">
        <v>229</v>
      </c>
      <c r="FNT77" t="s">
        <v>633</v>
      </c>
      <c r="FNU77" t="s">
        <v>229</v>
      </c>
      <c r="FNV77" t="s">
        <v>633</v>
      </c>
      <c r="FNW77" t="s">
        <v>229</v>
      </c>
      <c r="FNX77" t="s">
        <v>633</v>
      </c>
      <c r="FNY77" t="s">
        <v>229</v>
      </c>
      <c r="FNZ77" t="s">
        <v>633</v>
      </c>
      <c r="FOA77" t="s">
        <v>229</v>
      </c>
      <c r="FOB77" t="s">
        <v>633</v>
      </c>
      <c r="FOC77" t="s">
        <v>229</v>
      </c>
      <c r="FOD77" t="s">
        <v>633</v>
      </c>
      <c r="FOE77" t="s">
        <v>229</v>
      </c>
      <c r="FOF77" t="s">
        <v>633</v>
      </c>
      <c r="FOG77" t="s">
        <v>229</v>
      </c>
      <c r="FOH77" t="s">
        <v>633</v>
      </c>
      <c r="FOI77" t="s">
        <v>229</v>
      </c>
      <c r="FOJ77" t="s">
        <v>633</v>
      </c>
      <c r="FOK77" t="s">
        <v>229</v>
      </c>
      <c r="FOL77" t="s">
        <v>633</v>
      </c>
      <c r="FOM77" t="s">
        <v>229</v>
      </c>
      <c r="FON77" t="s">
        <v>633</v>
      </c>
      <c r="FOO77" t="s">
        <v>229</v>
      </c>
      <c r="FOP77" t="s">
        <v>633</v>
      </c>
      <c r="FOQ77" t="s">
        <v>229</v>
      </c>
      <c r="FOR77" t="s">
        <v>633</v>
      </c>
      <c r="FOS77" t="s">
        <v>229</v>
      </c>
      <c r="FOT77" t="s">
        <v>633</v>
      </c>
      <c r="FOU77" t="s">
        <v>229</v>
      </c>
      <c r="FOV77" t="s">
        <v>633</v>
      </c>
      <c r="FOW77" t="s">
        <v>229</v>
      </c>
      <c r="FOX77" t="s">
        <v>633</v>
      </c>
      <c r="FOY77" t="s">
        <v>229</v>
      </c>
      <c r="FOZ77" t="s">
        <v>633</v>
      </c>
      <c r="FPA77" t="s">
        <v>229</v>
      </c>
      <c r="FPB77" t="s">
        <v>633</v>
      </c>
      <c r="FPC77" t="s">
        <v>229</v>
      </c>
      <c r="FPD77" t="s">
        <v>633</v>
      </c>
      <c r="FPE77" t="s">
        <v>229</v>
      </c>
      <c r="FPF77" t="s">
        <v>633</v>
      </c>
      <c r="FPG77" t="s">
        <v>229</v>
      </c>
      <c r="FPH77" t="s">
        <v>633</v>
      </c>
      <c r="FPI77" t="s">
        <v>229</v>
      </c>
      <c r="FPJ77" t="s">
        <v>633</v>
      </c>
      <c r="FPK77" t="s">
        <v>229</v>
      </c>
      <c r="FPL77" t="s">
        <v>633</v>
      </c>
      <c r="FPM77" t="s">
        <v>229</v>
      </c>
      <c r="FPN77" t="s">
        <v>633</v>
      </c>
      <c r="FPO77" t="s">
        <v>229</v>
      </c>
      <c r="FPP77" t="s">
        <v>633</v>
      </c>
      <c r="FPQ77" t="s">
        <v>229</v>
      </c>
      <c r="FPR77" t="s">
        <v>633</v>
      </c>
      <c r="FPS77" t="s">
        <v>229</v>
      </c>
      <c r="FPT77" t="s">
        <v>633</v>
      </c>
      <c r="FPU77" t="s">
        <v>229</v>
      </c>
      <c r="FPV77" t="s">
        <v>633</v>
      </c>
      <c r="FPW77" t="s">
        <v>229</v>
      </c>
      <c r="FPX77" t="s">
        <v>633</v>
      </c>
      <c r="FPY77" t="s">
        <v>229</v>
      </c>
      <c r="FPZ77" t="s">
        <v>633</v>
      </c>
      <c r="FQA77" t="s">
        <v>229</v>
      </c>
      <c r="FQB77" t="s">
        <v>633</v>
      </c>
      <c r="FQC77" t="s">
        <v>229</v>
      </c>
      <c r="FQD77" t="s">
        <v>633</v>
      </c>
      <c r="FQE77" t="s">
        <v>229</v>
      </c>
      <c r="FQF77" t="s">
        <v>633</v>
      </c>
      <c r="FQG77" t="s">
        <v>229</v>
      </c>
      <c r="FQH77" t="s">
        <v>633</v>
      </c>
      <c r="FQI77" t="s">
        <v>229</v>
      </c>
      <c r="FQJ77" t="s">
        <v>633</v>
      </c>
      <c r="FQK77" t="s">
        <v>229</v>
      </c>
      <c r="FQL77" t="s">
        <v>633</v>
      </c>
      <c r="FQM77" t="s">
        <v>229</v>
      </c>
      <c r="FQN77" t="s">
        <v>633</v>
      </c>
      <c r="FQO77" t="s">
        <v>229</v>
      </c>
      <c r="FQP77" t="s">
        <v>633</v>
      </c>
      <c r="FQQ77" t="s">
        <v>229</v>
      </c>
      <c r="FQR77" t="s">
        <v>633</v>
      </c>
      <c r="FQS77" t="s">
        <v>229</v>
      </c>
      <c r="FQT77" t="s">
        <v>633</v>
      </c>
      <c r="FQU77" t="s">
        <v>229</v>
      </c>
      <c r="FQV77" t="s">
        <v>633</v>
      </c>
      <c r="FQW77" t="s">
        <v>229</v>
      </c>
      <c r="FQX77" t="s">
        <v>633</v>
      </c>
      <c r="FQY77" t="s">
        <v>229</v>
      </c>
      <c r="FQZ77" t="s">
        <v>633</v>
      </c>
      <c r="FRA77" t="s">
        <v>229</v>
      </c>
      <c r="FRB77" t="s">
        <v>633</v>
      </c>
      <c r="FRC77" t="s">
        <v>229</v>
      </c>
      <c r="FRD77" t="s">
        <v>633</v>
      </c>
      <c r="FRE77" t="s">
        <v>229</v>
      </c>
      <c r="FRF77" t="s">
        <v>633</v>
      </c>
      <c r="FRG77" t="s">
        <v>229</v>
      </c>
      <c r="FRH77" t="s">
        <v>633</v>
      </c>
      <c r="FRI77" t="s">
        <v>229</v>
      </c>
      <c r="FRJ77" t="s">
        <v>633</v>
      </c>
      <c r="FRK77" t="s">
        <v>229</v>
      </c>
      <c r="FRL77" t="s">
        <v>633</v>
      </c>
      <c r="FRM77" t="s">
        <v>229</v>
      </c>
      <c r="FRN77" t="s">
        <v>633</v>
      </c>
      <c r="FRO77" t="s">
        <v>229</v>
      </c>
      <c r="FRP77" t="s">
        <v>633</v>
      </c>
      <c r="FRQ77" t="s">
        <v>229</v>
      </c>
      <c r="FRR77" t="s">
        <v>633</v>
      </c>
      <c r="FRS77" t="s">
        <v>229</v>
      </c>
      <c r="FRT77" t="s">
        <v>633</v>
      </c>
      <c r="FRU77" t="s">
        <v>229</v>
      </c>
      <c r="FRV77" t="s">
        <v>633</v>
      </c>
      <c r="FRW77" t="s">
        <v>229</v>
      </c>
      <c r="FRX77" t="s">
        <v>633</v>
      </c>
      <c r="FRY77" t="s">
        <v>229</v>
      </c>
      <c r="FRZ77" t="s">
        <v>633</v>
      </c>
      <c r="FSA77" t="s">
        <v>229</v>
      </c>
      <c r="FSB77" t="s">
        <v>633</v>
      </c>
      <c r="FSC77" t="s">
        <v>229</v>
      </c>
      <c r="FSD77" t="s">
        <v>633</v>
      </c>
      <c r="FSE77" t="s">
        <v>229</v>
      </c>
      <c r="FSF77" t="s">
        <v>633</v>
      </c>
      <c r="FSG77" t="s">
        <v>229</v>
      </c>
      <c r="FSH77" t="s">
        <v>633</v>
      </c>
      <c r="FSI77" t="s">
        <v>229</v>
      </c>
      <c r="FSJ77" t="s">
        <v>633</v>
      </c>
      <c r="FSK77" t="s">
        <v>229</v>
      </c>
      <c r="FSL77" t="s">
        <v>633</v>
      </c>
      <c r="FSM77" t="s">
        <v>229</v>
      </c>
      <c r="FSN77" t="s">
        <v>633</v>
      </c>
      <c r="FSO77" t="s">
        <v>229</v>
      </c>
      <c r="FSP77" t="s">
        <v>633</v>
      </c>
      <c r="FSQ77" t="s">
        <v>229</v>
      </c>
      <c r="FSR77" t="s">
        <v>633</v>
      </c>
      <c r="FSS77" t="s">
        <v>229</v>
      </c>
      <c r="FST77" t="s">
        <v>633</v>
      </c>
      <c r="FSU77" t="s">
        <v>229</v>
      </c>
      <c r="FSV77" t="s">
        <v>633</v>
      </c>
      <c r="FSW77" t="s">
        <v>229</v>
      </c>
      <c r="FSX77" t="s">
        <v>633</v>
      </c>
      <c r="FSY77" t="s">
        <v>229</v>
      </c>
      <c r="FSZ77" t="s">
        <v>633</v>
      </c>
      <c r="FTA77" t="s">
        <v>229</v>
      </c>
      <c r="FTB77" t="s">
        <v>633</v>
      </c>
      <c r="FTC77" t="s">
        <v>229</v>
      </c>
      <c r="FTD77" t="s">
        <v>633</v>
      </c>
      <c r="FTE77" t="s">
        <v>229</v>
      </c>
      <c r="FTF77" t="s">
        <v>633</v>
      </c>
      <c r="FTG77" t="s">
        <v>229</v>
      </c>
      <c r="FTH77" t="s">
        <v>633</v>
      </c>
      <c r="FTI77" t="s">
        <v>229</v>
      </c>
      <c r="FTJ77" t="s">
        <v>633</v>
      </c>
      <c r="FTK77" t="s">
        <v>229</v>
      </c>
      <c r="FTL77" t="s">
        <v>633</v>
      </c>
      <c r="FTM77" t="s">
        <v>229</v>
      </c>
      <c r="FTN77" t="s">
        <v>633</v>
      </c>
      <c r="FTO77" t="s">
        <v>229</v>
      </c>
      <c r="FTP77" t="s">
        <v>633</v>
      </c>
      <c r="FTQ77" t="s">
        <v>229</v>
      </c>
      <c r="FTR77" t="s">
        <v>633</v>
      </c>
      <c r="FTS77" t="s">
        <v>229</v>
      </c>
      <c r="FTT77" t="s">
        <v>633</v>
      </c>
      <c r="FTU77" t="s">
        <v>229</v>
      </c>
      <c r="FTV77" t="s">
        <v>633</v>
      </c>
      <c r="FTW77" t="s">
        <v>229</v>
      </c>
      <c r="FTX77" t="s">
        <v>633</v>
      </c>
      <c r="FTY77" t="s">
        <v>229</v>
      </c>
      <c r="FTZ77" t="s">
        <v>633</v>
      </c>
      <c r="FUA77" t="s">
        <v>229</v>
      </c>
      <c r="FUB77" t="s">
        <v>633</v>
      </c>
      <c r="FUC77" t="s">
        <v>229</v>
      </c>
      <c r="FUD77" t="s">
        <v>633</v>
      </c>
      <c r="FUE77" t="s">
        <v>229</v>
      </c>
      <c r="FUF77" t="s">
        <v>633</v>
      </c>
      <c r="FUG77" t="s">
        <v>229</v>
      </c>
      <c r="FUH77" t="s">
        <v>633</v>
      </c>
      <c r="FUI77" t="s">
        <v>229</v>
      </c>
      <c r="FUJ77" t="s">
        <v>633</v>
      </c>
      <c r="FUK77" t="s">
        <v>229</v>
      </c>
      <c r="FUL77" t="s">
        <v>633</v>
      </c>
      <c r="FUM77" t="s">
        <v>229</v>
      </c>
      <c r="FUN77" t="s">
        <v>633</v>
      </c>
      <c r="FUO77" t="s">
        <v>229</v>
      </c>
      <c r="FUP77" t="s">
        <v>633</v>
      </c>
      <c r="FUQ77" t="s">
        <v>229</v>
      </c>
      <c r="FUR77" t="s">
        <v>633</v>
      </c>
      <c r="FUS77" t="s">
        <v>229</v>
      </c>
      <c r="FUT77" t="s">
        <v>633</v>
      </c>
      <c r="FUU77" t="s">
        <v>229</v>
      </c>
      <c r="FUV77" t="s">
        <v>633</v>
      </c>
      <c r="FUW77" t="s">
        <v>229</v>
      </c>
      <c r="FUX77" t="s">
        <v>633</v>
      </c>
      <c r="FUY77" t="s">
        <v>229</v>
      </c>
      <c r="FUZ77" t="s">
        <v>633</v>
      </c>
      <c r="FVA77" t="s">
        <v>229</v>
      </c>
      <c r="FVB77" t="s">
        <v>633</v>
      </c>
      <c r="FVC77" t="s">
        <v>229</v>
      </c>
      <c r="FVD77" t="s">
        <v>633</v>
      </c>
      <c r="FVE77" t="s">
        <v>229</v>
      </c>
      <c r="FVF77" t="s">
        <v>633</v>
      </c>
      <c r="FVG77" t="s">
        <v>229</v>
      </c>
      <c r="FVH77" t="s">
        <v>633</v>
      </c>
      <c r="FVI77" t="s">
        <v>229</v>
      </c>
      <c r="FVJ77" t="s">
        <v>633</v>
      </c>
      <c r="FVK77" t="s">
        <v>229</v>
      </c>
      <c r="FVL77" t="s">
        <v>633</v>
      </c>
      <c r="FVM77" t="s">
        <v>229</v>
      </c>
      <c r="FVN77" t="s">
        <v>633</v>
      </c>
      <c r="FVO77" t="s">
        <v>229</v>
      </c>
      <c r="FVP77" t="s">
        <v>633</v>
      </c>
      <c r="FVQ77" t="s">
        <v>229</v>
      </c>
      <c r="FVR77" t="s">
        <v>633</v>
      </c>
      <c r="FVS77" t="s">
        <v>229</v>
      </c>
      <c r="FVT77" t="s">
        <v>633</v>
      </c>
      <c r="FVU77" t="s">
        <v>229</v>
      </c>
      <c r="FVV77" t="s">
        <v>633</v>
      </c>
      <c r="FVW77" t="s">
        <v>229</v>
      </c>
      <c r="FVX77" t="s">
        <v>633</v>
      </c>
      <c r="FVY77" t="s">
        <v>229</v>
      </c>
      <c r="FVZ77" t="s">
        <v>633</v>
      </c>
      <c r="FWA77" t="s">
        <v>229</v>
      </c>
      <c r="FWB77" t="s">
        <v>633</v>
      </c>
      <c r="FWC77" t="s">
        <v>229</v>
      </c>
      <c r="FWD77" t="s">
        <v>633</v>
      </c>
      <c r="FWE77" t="s">
        <v>229</v>
      </c>
      <c r="FWF77" t="s">
        <v>633</v>
      </c>
      <c r="FWG77" t="s">
        <v>229</v>
      </c>
      <c r="FWH77" t="s">
        <v>633</v>
      </c>
      <c r="FWI77" t="s">
        <v>229</v>
      </c>
      <c r="FWJ77" t="s">
        <v>633</v>
      </c>
      <c r="FWK77" t="s">
        <v>229</v>
      </c>
      <c r="FWL77" t="s">
        <v>633</v>
      </c>
      <c r="FWM77" t="s">
        <v>229</v>
      </c>
      <c r="FWN77" t="s">
        <v>633</v>
      </c>
      <c r="FWO77" t="s">
        <v>229</v>
      </c>
      <c r="FWP77" t="s">
        <v>633</v>
      </c>
      <c r="FWQ77" t="s">
        <v>229</v>
      </c>
      <c r="FWR77" t="s">
        <v>633</v>
      </c>
      <c r="FWS77" t="s">
        <v>229</v>
      </c>
      <c r="FWT77" t="s">
        <v>633</v>
      </c>
      <c r="FWU77" t="s">
        <v>229</v>
      </c>
      <c r="FWV77" t="s">
        <v>633</v>
      </c>
      <c r="FWW77" t="s">
        <v>229</v>
      </c>
      <c r="FWX77" t="s">
        <v>633</v>
      </c>
      <c r="FWY77" t="s">
        <v>229</v>
      </c>
      <c r="FWZ77" t="s">
        <v>633</v>
      </c>
      <c r="FXA77" t="s">
        <v>229</v>
      </c>
      <c r="FXB77" t="s">
        <v>633</v>
      </c>
      <c r="FXC77" t="s">
        <v>229</v>
      </c>
      <c r="FXD77" t="s">
        <v>633</v>
      </c>
      <c r="FXE77" t="s">
        <v>229</v>
      </c>
      <c r="FXF77" t="s">
        <v>633</v>
      </c>
      <c r="FXG77" t="s">
        <v>229</v>
      </c>
      <c r="FXH77" t="s">
        <v>633</v>
      </c>
      <c r="FXI77" t="s">
        <v>229</v>
      </c>
      <c r="FXJ77" t="s">
        <v>633</v>
      </c>
      <c r="FXK77" t="s">
        <v>229</v>
      </c>
      <c r="FXL77" t="s">
        <v>633</v>
      </c>
      <c r="FXM77" t="s">
        <v>229</v>
      </c>
      <c r="FXN77" t="s">
        <v>633</v>
      </c>
      <c r="FXO77" t="s">
        <v>229</v>
      </c>
      <c r="FXP77" t="s">
        <v>633</v>
      </c>
      <c r="FXQ77" t="s">
        <v>229</v>
      </c>
      <c r="FXR77" t="s">
        <v>633</v>
      </c>
      <c r="FXS77" t="s">
        <v>229</v>
      </c>
      <c r="FXT77" t="s">
        <v>633</v>
      </c>
      <c r="FXU77" t="s">
        <v>229</v>
      </c>
      <c r="FXV77" t="s">
        <v>633</v>
      </c>
      <c r="FXW77" t="s">
        <v>229</v>
      </c>
      <c r="FXX77" t="s">
        <v>633</v>
      </c>
      <c r="FXY77" t="s">
        <v>229</v>
      </c>
      <c r="FXZ77" t="s">
        <v>633</v>
      </c>
      <c r="FYA77" t="s">
        <v>229</v>
      </c>
      <c r="FYB77" t="s">
        <v>633</v>
      </c>
      <c r="FYC77" t="s">
        <v>229</v>
      </c>
      <c r="FYD77" t="s">
        <v>633</v>
      </c>
      <c r="FYE77" t="s">
        <v>229</v>
      </c>
      <c r="FYF77" t="s">
        <v>633</v>
      </c>
      <c r="FYG77" t="s">
        <v>229</v>
      </c>
      <c r="FYH77" t="s">
        <v>633</v>
      </c>
      <c r="FYI77" t="s">
        <v>229</v>
      </c>
      <c r="FYJ77" t="s">
        <v>633</v>
      </c>
      <c r="FYK77" t="s">
        <v>229</v>
      </c>
      <c r="FYL77" t="s">
        <v>633</v>
      </c>
      <c r="FYM77" t="s">
        <v>229</v>
      </c>
      <c r="FYN77" t="s">
        <v>633</v>
      </c>
      <c r="FYO77" t="s">
        <v>229</v>
      </c>
      <c r="FYP77" t="s">
        <v>633</v>
      </c>
      <c r="FYQ77" t="s">
        <v>229</v>
      </c>
      <c r="FYR77" t="s">
        <v>633</v>
      </c>
      <c r="FYS77" t="s">
        <v>229</v>
      </c>
      <c r="FYT77" t="s">
        <v>633</v>
      </c>
      <c r="FYU77" t="s">
        <v>229</v>
      </c>
      <c r="FYV77" t="s">
        <v>633</v>
      </c>
      <c r="FYW77" t="s">
        <v>229</v>
      </c>
      <c r="FYX77" t="s">
        <v>633</v>
      </c>
      <c r="FYY77" t="s">
        <v>229</v>
      </c>
      <c r="FYZ77" t="s">
        <v>633</v>
      </c>
      <c r="FZA77" t="s">
        <v>229</v>
      </c>
      <c r="FZB77" t="s">
        <v>633</v>
      </c>
      <c r="FZC77" t="s">
        <v>229</v>
      </c>
      <c r="FZD77" t="s">
        <v>633</v>
      </c>
      <c r="FZE77" t="s">
        <v>229</v>
      </c>
      <c r="FZF77" t="s">
        <v>633</v>
      </c>
      <c r="FZG77" t="s">
        <v>229</v>
      </c>
      <c r="FZH77" t="s">
        <v>633</v>
      </c>
      <c r="FZI77" t="s">
        <v>229</v>
      </c>
      <c r="FZJ77" t="s">
        <v>633</v>
      </c>
      <c r="FZK77" t="s">
        <v>229</v>
      </c>
      <c r="FZL77" t="s">
        <v>633</v>
      </c>
      <c r="FZM77" t="s">
        <v>229</v>
      </c>
      <c r="FZN77" t="s">
        <v>633</v>
      </c>
      <c r="FZO77" t="s">
        <v>229</v>
      </c>
      <c r="FZP77" t="s">
        <v>633</v>
      </c>
      <c r="FZQ77" t="s">
        <v>229</v>
      </c>
      <c r="FZR77" t="s">
        <v>633</v>
      </c>
      <c r="FZS77" t="s">
        <v>229</v>
      </c>
      <c r="FZT77" t="s">
        <v>633</v>
      </c>
      <c r="FZU77" t="s">
        <v>229</v>
      </c>
      <c r="FZV77" t="s">
        <v>633</v>
      </c>
      <c r="FZW77" t="s">
        <v>229</v>
      </c>
      <c r="FZX77" t="s">
        <v>633</v>
      </c>
      <c r="FZY77" t="s">
        <v>229</v>
      </c>
      <c r="FZZ77" t="s">
        <v>633</v>
      </c>
      <c r="GAA77" t="s">
        <v>229</v>
      </c>
      <c r="GAB77" t="s">
        <v>633</v>
      </c>
      <c r="GAC77" t="s">
        <v>229</v>
      </c>
      <c r="GAD77" t="s">
        <v>633</v>
      </c>
      <c r="GAE77" t="s">
        <v>229</v>
      </c>
      <c r="GAF77" t="s">
        <v>633</v>
      </c>
      <c r="GAG77" t="s">
        <v>229</v>
      </c>
      <c r="GAH77" t="s">
        <v>633</v>
      </c>
      <c r="GAI77" t="s">
        <v>229</v>
      </c>
      <c r="GAJ77" t="s">
        <v>633</v>
      </c>
      <c r="GAK77" t="s">
        <v>229</v>
      </c>
      <c r="GAL77" t="s">
        <v>633</v>
      </c>
      <c r="GAM77" t="s">
        <v>229</v>
      </c>
      <c r="GAN77" t="s">
        <v>633</v>
      </c>
      <c r="GAO77" t="s">
        <v>229</v>
      </c>
      <c r="GAP77" t="s">
        <v>633</v>
      </c>
      <c r="GAQ77" t="s">
        <v>229</v>
      </c>
      <c r="GAR77" t="s">
        <v>633</v>
      </c>
      <c r="GAS77" t="s">
        <v>229</v>
      </c>
      <c r="GAT77" t="s">
        <v>633</v>
      </c>
      <c r="GAU77" t="s">
        <v>229</v>
      </c>
      <c r="GAV77" t="s">
        <v>633</v>
      </c>
      <c r="GAW77" t="s">
        <v>229</v>
      </c>
      <c r="GAX77" t="s">
        <v>633</v>
      </c>
      <c r="GAY77" t="s">
        <v>229</v>
      </c>
      <c r="GAZ77" t="s">
        <v>633</v>
      </c>
      <c r="GBA77" t="s">
        <v>229</v>
      </c>
      <c r="GBB77" t="s">
        <v>633</v>
      </c>
      <c r="GBC77" t="s">
        <v>229</v>
      </c>
      <c r="GBD77" t="s">
        <v>633</v>
      </c>
      <c r="GBE77" t="s">
        <v>229</v>
      </c>
      <c r="GBF77" t="s">
        <v>633</v>
      </c>
      <c r="GBG77" t="s">
        <v>229</v>
      </c>
      <c r="GBH77" t="s">
        <v>633</v>
      </c>
      <c r="GBI77" t="s">
        <v>229</v>
      </c>
      <c r="GBJ77" t="s">
        <v>633</v>
      </c>
      <c r="GBK77" t="s">
        <v>229</v>
      </c>
      <c r="GBL77" t="s">
        <v>633</v>
      </c>
      <c r="GBM77" t="s">
        <v>229</v>
      </c>
      <c r="GBN77" t="s">
        <v>633</v>
      </c>
      <c r="GBO77" t="s">
        <v>229</v>
      </c>
      <c r="GBP77" t="s">
        <v>633</v>
      </c>
      <c r="GBQ77" t="s">
        <v>229</v>
      </c>
      <c r="GBR77" t="s">
        <v>633</v>
      </c>
      <c r="GBS77" t="s">
        <v>229</v>
      </c>
      <c r="GBT77" t="s">
        <v>633</v>
      </c>
      <c r="GBU77" t="s">
        <v>229</v>
      </c>
      <c r="GBV77" t="s">
        <v>633</v>
      </c>
      <c r="GBW77" t="s">
        <v>229</v>
      </c>
      <c r="GBX77" t="s">
        <v>633</v>
      </c>
      <c r="GBY77" t="s">
        <v>229</v>
      </c>
      <c r="GBZ77" t="s">
        <v>633</v>
      </c>
      <c r="GCA77" t="s">
        <v>229</v>
      </c>
      <c r="GCB77" t="s">
        <v>633</v>
      </c>
      <c r="GCC77" t="s">
        <v>229</v>
      </c>
      <c r="GCD77" t="s">
        <v>633</v>
      </c>
      <c r="GCE77" t="s">
        <v>229</v>
      </c>
      <c r="GCF77" t="s">
        <v>633</v>
      </c>
      <c r="GCG77" t="s">
        <v>229</v>
      </c>
      <c r="GCH77" t="s">
        <v>633</v>
      </c>
      <c r="GCI77" t="s">
        <v>229</v>
      </c>
      <c r="GCJ77" t="s">
        <v>633</v>
      </c>
      <c r="GCK77" t="s">
        <v>229</v>
      </c>
      <c r="GCL77" t="s">
        <v>633</v>
      </c>
      <c r="GCM77" t="s">
        <v>229</v>
      </c>
      <c r="GCN77" t="s">
        <v>633</v>
      </c>
      <c r="GCO77" t="s">
        <v>229</v>
      </c>
      <c r="GCP77" t="s">
        <v>633</v>
      </c>
      <c r="GCQ77" t="s">
        <v>229</v>
      </c>
      <c r="GCR77" t="s">
        <v>633</v>
      </c>
      <c r="GCS77" t="s">
        <v>229</v>
      </c>
      <c r="GCT77" t="s">
        <v>633</v>
      </c>
      <c r="GCU77" t="s">
        <v>229</v>
      </c>
      <c r="GCV77" t="s">
        <v>633</v>
      </c>
      <c r="GCW77" t="s">
        <v>229</v>
      </c>
      <c r="GCX77" t="s">
        <v>633</v>
      </c>
      <c r="GCY77" t="s">
        <v>229</v>
      </c>
      <c r="GCZ77" t="s">
        <v>633</v>
      </c>
      <c r="GDA77" t="s">
        <v>229</v>
      </c>
      <c r="GDB77" t="s">
        <v>633</v>
      </c>
      <c r="GDC77" t="s">
        <v>229</v>
      </c>
      <c r="GDD77" t="s">
        <v>633</v>
      </c>
      <c r="GDE77" t="s">
        <v>229</v>
      </c>
      <c r="GDF77" t="s">
        <v>633</v>
      </c>
      <c r="GDG77" t="s">
        <v>229</v>
      </c>
      <c r="GDH77" t="s">
        <v>633</v>
      </c>
      <c r="GDI77" t="s">
        <v>229</v>
      </c>
      <c r="GDJ77" t="s">
        <v>633</v>
      </c>
      <c r="GDK77" t="s">
        <v>229</v>
      </c>
      <c r="GDL77" t="s">
        <v>633</v>
      </c>
      <c r="GDM77" t="s">
        <v>229</v>
      </c>
      <c r="GDN77" t="s">
        <v>633</v>
      </c>
      <c r="GDO77" t="s">
        <v>229</v>
      </c>
      <c r="GDP77" t="s">
        <v>633</v>
      </c>
      <c r="GDQ77" t="s">
        <v>229</v>
      </c>
      <c r="GDR77" t="s">
        <v>633</v>
      </c>
      <c r="GDS77" t="s">
        <v>229</v>
      </c>
      <c r="GDT77" t="s">
        <v>633</v>
      </c>
      <c r="GDU77" t="s">
        <v>229</v>
      </c>
      <c r="GDV77" t="s">
        <v>633</v>
      </c>
      <c r="GDW77" t="s">
        <v>229</v>
      </c>
      <c r="GDX77" t="s">
        <v>633</v>
      </c>
      <c r="GDY77" t="s">
        <v>229</v>
      </c>
      <c r="GDZ77" t="s">
        <v>633</v>
      </c>
      <c r="GEA77" t="s">
        <v>229</v>
      </c>
      <c r="GEB77" t="s">
        <v>633</v>
      </c>
      <c r="GEC77" t="s">
        <v>229</v>
      </c>
      <c r="GED77" t="s">
        <v>633</v>
      </c>
      <c r="GEE77" t="s">
        <v>229</v>
      </c>
      <c r="GEF77" t="s">
        <v>633</v>
      </c>
      <c r="GEG77" t="s">
        <v>229</v>
      </c>
      <c r="GEH77" t="s">
        <v>633</v>
      </c>
      <c r="GEI77" t="s">
        <v>229</v>
      </c>
      <c r="GEJ77" t="s">
        <v>633</v>
      </c>
      <c r="GEK77" t="s">
        <v>229</v>
      </c>
      <c r="GEL77" t="s">
        <v>633</v>
      </c>
      <c r="GEM77" t="s">
        <v>229</v>
      </c>
      <c r="GEN77" t="s">
        <v>633</v>
      </c>
      <c r="GEO77" t="s">
        <v>229</v>
      </c>
      <c r="GEP77" t="s">
        <v>633</v>
      </c>
      <c r="GEQ77" t="s">
        <v>229</v>
      </c>
      <c r="GER77" t="s">
        <v>633</v>
      </c>
      <c r="GES77" t="s">
        <v>229</v>
      </c>
      <c r="GET77" t="s">
        <v>633</v>
      </c>
      <c r="GEU77" t="s">
        <v>229</v>
      </c>
      <c r="GEV77" t="s">
        <v>633</v>
      </c>
      <c r="GEW77" t="s">
        <v>229</v>
      </c>
      <c r="GEX77" t="s">
        <v>633</v>
      </c>
      <c r="GEY77" t="s">
        <v>229</v>
      </c>
      <c r="GEZ77" t="s">
        <v>633</v>
      </c>
      <c r="GFA77" t="s">
        <v>229</v>
      </c>
      <c r="GFB77" t="s">
        <v>633</v>
      </c>
      <c r="GFC77" t="s">
        <v>229</v>
      </c>
      <c r="GFD77" t="s">
        <v>633</v>
      </c>
      <c r="GFE77" t="s">
        <v>229</v>
      </c>
      <c r="GFF77" t="s">
        <v>633</v>
      </c>
      <c r="GFG77" t="s">
        <v>229</v>
      </c>
      <c r="GFH77" t="s">
        <v>633</v>
      </c>
      <c r="GFI77" t="s">
        <v>229</v>
      </c>
      <c r="GFJ77" t="s">
        <v>633</v>
      </c>
      <c r="GFK77" t="s">
        <v>229</v>
      </c>
      <c r="GFL77" t="s">
        <v>633</v>
      </c>
      <c r="GFM77" t="s">
        <v>229</v>
      </c>
      <c r="GFN77" t="s">
        <v>633</v>
      </c>
      <c r="GFO77" t="s">
        <v>229</v>
      </c>
      <c r="GFP77" t="s">
        <v>633</v>
      </c>
      <c r="GFQ77" t="s">
        <v>229</v>
      </c>
      <c r="GFR77" t="s">
        <v>633</v>
      </c>
      <c r="GFS77" t="s">
        <v>229</v>
      </c>
      <c r="GFT77" t="s">
        <v>633</v>
      </c>
      <c r="GFU77" t="s">
        <v>229</v>
      </c>
      <c r="GFV77" t="s">
        <v>633</v>
      </c>
      <c r="GFW77" t="s">
        <v>229</v>
      </c>
      <c r="GFX77" t="s">
        <v>633</v>
      </c>
      <c r="GFY77" t="s">
        <v>229</v>
      </c>
      <c r="GFZ77" t="s">
        <v>633</v>
      </c>
      <c r="GGA77" t="s">
        <v>229</v>
      </c>
      <c r="GGB77" t="s">
        <v>633</v>
      </c>
      <c r="GGC77" t="s">
        <v>229</v>
      </c>
      <c r="GGD77" t="s">
        <v>633</v>
      </c>
      <c r="GGE77" t="s">
        <v>229</v>
      </c>
      <c r="GGF77" t="s">
        <v>633</v>
      </c>
      <c r="GGG77" t="s">
        <v>229</v>
      </c>
      <c r="GGH77" t="s">
        <v>633</v>
      </c>
      <c r="GGI77" t="s">
        <v>229</v>
      </c>
      <c r="GGJ77" t="s">
        <v>633</v>
      </c>
      <c r="GGK77" t="s">
        <v>229</v>
      </c>
      <c r="GGL77" t="s">
        <v>633</v>
      </c>
      <c r="GGM77" t="s">
        <v>229</v>
      </c>
      <c r="GGN77" t="s">
        <v>633</v>
      </c>
      <c r="GGO77" t="s">
        <v>229</v>
      </c>
      <c r="GGP77" t="s">
        <v>633</v>
      </c>
      <c r="GGQ77" t="s">
        <v>229</v>
      </c>
      <c r="GGR77" t="s">
        <v>633</v>
      </c>
      <c r="GGS77" t="s">
        <v>229</v>
      </c>
      <c r="GGT77" t="s">
        <v>633</v>
      </c>
      <c r="GGU77" t="s">
        <v>229</v>
      </c>
      <c r="GGV77" t="s">
        <v>633</v>
      </c>
      <c r="GGW77" t="s">
        <v>229</v>
      </c>
      <c r="GGX77" t="s">
        <v>633</v>
      </c>
      <c r="GGY77" t="s">
        <v>229</v>
      </c>
      <c r="GGZ77" t="s">
        <v>633</v>
      </c>
      <c r="GHA77" t="s">
        <v>229</v>
      </c>
      <c r="GHB77" t="s">
        <v>633</v>
      </c>
      <c r="GHC77" t="s">
        <v>229</v>
      </c>
      <c r="GHD77" t="s">
        <v>633</v>
      </c>
      <c r="GHE77" t="s">
        <v>229</v>
      </c>
      <c r="GHF77" t="s">
        <v>633</v>
      </c>
      <c r="GHG77" t="s">
        <v>229</v>
      </c>
      <c r="GHH77" t="s">
        <v>633</v>
      </c>
      <c r="GHI77" t="s">
        <v>229</v>
      </c>
      <c r="GHJ77" t="s">
        <v>633</v>
      </c>
      <c r="GHK77" t="s">
        <v>229</v>
      </c>
      <c r="GHL77" t="s">
        <v>633</v>
      </c>
      <c r="GHM77" t="s">
        <v>229</v>
      </c>
      <c r="GHN77" t="s">
        <v>633</v>
      </c>
      <c r="GHO77" t="s">
        <v>229</v>
      </c>
      <c r="GHP77" t="s">
        <v>633</v>
      </c>
      <c r="GHQ77" t="s">
        <v>229</v>
      </c>
      <c r="GHR77" t="s">
        <v>633</v>
      </c>
      <c r="GHS77" t="s">
        <v>229</v>
      </c>
      <c r="GHT77" t="s">
        <v>633</v>
      </c>
      <c r="GHU77" t="s">
        <v>229</v>
      </c>
      <c r="GHV77" t="s">
        <v>633</v>
      </c>
      <c r="GHW77" t="s">
        <v>229</v>
      </c>
      <c r="GHX77" t="s">
        <v>633</v>
      </c>
      <c r="GHY77" t="s">
        <v>229</v>
      </c>
      <c r="GHZ77" t="s">
        <v>633</v>
      </c>
      <c r="GIA77" t="s">
        <v>229</v>
      </c>
      <c r="GIB77" t="s">
        <v>633</v>
      </c>
      <c r="GIC77" t="s">
        <v>229</v>
      </c>
      <c r="GID77" t="s">
        <v>633</v>
      </c>
      <c r="GIE77" t="s">
        <v>229</v>
      </c>
      <c r="GIF77" t="s">
        <v>633</v>
      </c>
      <c r="GIG77" t="s">
        <v>229</v>
      </c>
      <c r="GIH77" t="s">
        <v>633</v>
      </c>
      <c r="GII77" t="s">
        <v>229</v>
      </c>
      <c r="GIJ77" t="s">
        <v>633</v>
      </c>
      <c r="GIK77" t="s">
        <v>229</v>
      </c>
      <c r="GIL77" t="s">
        <v>633</v>
      </c>
      <c r="GIM77" t="s">
        <v>229</v>
      </c>
      <c r="GIN77" t="s">
        <v>633</v>
      </c>
      <c r="GIO77" t="s">
        <v>229</v>
      </c>
      <c r="GIP77" t="s">
        <v>633</v>
      </c>
      <c r="GIQ77" t="s">
        <v>229</v>
      </c>
      <c r="GIR77" t="s">
        <v>633</v>
      </c>
      <c r="GIS77" t="s">
        <v>229</v>
      </c>
      <c r="GIT77" t="s">
        <v>633</v>
      </c>
      <c r="GIU77" t="s">
        <v>229</v>
      </c>
      <c r="GIV77" t="s">
        <v>633</v>
      </c>
      <c r="GIW77" t="s">
        <v>229</v>
      </c>
      <c r="GIX77" t="s">
        <v>633</v>
      </c>
      <c r="GIY77" t="s">
        <v>229</v>
      </c>
      <c r="GIZ77" t="s">
        <v>633</v>
      </c>
      <c r="GJA77" t="s">
        <v>229</v>
      </c>
      <c r="GJB77" t="s">
        <v>633</v>
      </c>
      <c r="GJC77" t="s">
        <v>229</v>
      </c>
      <c r="GJD77" t="s">
        <v>633</v>
      </c>
      <c r="GJE77" t="s">
        <v>229</v>
      </c>
      <c r="GJF77" t="s">
        <v>633</v>
      </c>
      <c r="GJG77" t="s">
        <v>229</v>
      </c>
      <c r="GJH77" t="s">
        <v>633</v>
      </c>
      <c r="GJI77" t="s">
        <v>229</v>
      </c>
      <c r="GJJ77" t="s">
        <v>633</v>
      </c>
      <c r="GJK77" t="s">
        <v>229</v>
      </c>
      <c r="GJL77" t="s">
        <v>633</v>
      </c>
      <c r="GJM77" t="s">
        <v>229</v>
      </c>
      <c r="GJN77" t="s">
        <v>633</v>
      </c>
      <c r="GJO77" t="s">
        <v>229</v>
      </c>
      <c r="GJP77" t="s">
        <v>633</v>
      </c>
      <c r="GJQ77" t="s">
        <v>229</v>
      </c>
      <c r="GJR77" t="s">
        <v>633</v>
      </c>
      <c r="GJS77" t="s">
        <v>229</v>
      </c>
      <c r="GJT77" t="s">
        <v>633</v>
      </c>
      <c r="GJU77" t="s">
        <v>229</v>
      </c>
      <c r="GJV77" t="s">
        <v>633</v>
      </c>
      <c r="GJW77" t="s">
        <v>229</v>
      </c>
      <c r="GJX77" t="s">
        <v>633</v>
      </c>
      <c r="GJY77" t="s">
        <v>229</v>
      </c>
      <c r="GJZ77" t="s">
        <v>633</v>
      </c>
      <c r="GKA77" t="s">
        <v>229</v>
      </c>
      <c r="GKB77" t="s">
        <v>633</v>
      </c>
      <c r="GKC77" t="s">
        <v>229</v>
      </c>
      <c r="GKD77" t="s">
        <v>633</v>
      </c>
      <c r="GKE77" t="s">
        <v>229</v>
      </c>
      <c r="GKF77" t="s">
        <v>633</v>
      </c>
      <c r="GKG77" t="s">
        <v>229</v>
      </c>
      <c r="GKH77" t="s">
        <v>633</v>
      </c>
      <c r="GKI77" t="s">
        <v>229</v>
      </c>
      <c r="GKJ77" t="s">
        <v>633</v>
      </c>
      <c r="GKK77" t="s">
        <v>229</v>
      </c>
      <c r="GKL77" t="s">
        <v>633</v>
      </c>
      <c r="GKM77" t="s">
        <v>229</v>
      </c>
      <c r="GKN77" t="s">
        <v>633</v>
      </c>
      <c r="GKO77" t="s">
        <v>229</v>
      </c>
      <c r="GKP77" t="s">
        <v>633</v>
      </c>
      <c r="GKQ77" t="s">
        <v>229</v>
      </c>
      <c r="GKR77" t="s">
        <v>633</v>
      </c>
      <c r="GKS77" t="s">
        <v>229</v>
      </c>
      <c r="GKT77" t="s">
        <v>633</v>
      </c>
      <c r="GKU77" t="s">
        <v>229</v>
      </c>
      <c r="GKV77" t="s">
        <v>633</v>
      </c>
      <c r="GKW77" t="s">
        <v>229</v>
      </c>
      <c r="GKX77" t="s">
        <v>633</v>
      </c>
      <c r="GKY77" t="s">
        <v>229</v>
      </c>
      <c r="GKZ77" t="s">
        <v>633</v>
      </c>
      <c r="GLA77" t="s">
        <v>229</v>
      </c>
      <c r="GLB77" t="s">
        <v>633</v>
      </c>
      <c r="GLC77" t="s">
        <v>229</v>
      </c>
      <c r="GLD77" t="s">
        <v>633</v>
      </c>
      <c r="GLE77" t="s">
        <v>229</v>
      </c>
      <c r="GLF77" t="s">
        <v>633</v>
      </c>
      <c r="GLG77" t="s">
        <v>229</v>
      </c>
      <c r="GLH77" t="s">
        <v>633</v>
      </c>
      <c r="GLI77" t="s">
        <v>229</v>
      </c>
      <c r="GLJ77" t="s">
        <v>633</v>
      </c>
      <c r="GLK77" t="s">
        <v>229</v>
      </c>
      <c r="GLL77" t="s">
        <v>633</v>
      </c>
      <c r="GLM77" t="s">
        <v>229</v>
      </c>
      <c r="GLN77" t="s">
        <v>633</v>
      </c>
      <c r="GLO77" t="s">
        <v>229</v>
      </c>
      <c r="GLP77" t="s">
        <v>633</v>
      </c>
      <c r="GLQ77" t="s">
        <v>229</v>
      </c>
      <c r="GLR77" t="s">
        <v>633</v>
      </c>
      <c r="GLS77" t="s">
        <v>229</v>
      </c>
      <c r="GLT77" t="s">
        <v>633</v>
      </c>
      <c r="GLU77" t="s">
        <v>229</v>
      </c>
      <c r="GLV77" t="s">
        <v>633</v>
      </c>
      <c r="GLW77" t="s">
        <v>229</v>
      </c>
      <c r="GLX77" t="s">
        <v>633</v>
      </c>
      <c r="GLY77" t="s">
        <v>229</v>
      </c>
      <c r="GLZ77" t="s">
        <v>633</v>
      </c>
      <c r="GMA77" t="s">
        <v>229</v>
      </c>
      <c r="GMB77" t="s">
        <v>633</v>
      </c>
      <c r="GMC77" t="s">
        <v>229</v>
      </c>
      <c r="GMD77" t="s">
        <v>633</v>
      </c>
      <c r="GME77" t="s">
        <v>229</v>
      </c>
      <c r="GMF77" t="s">
        <v>633</v>
      </c>
      <c r="GMG77" t="s">
        <v>229</v>
      </c>
      <c r="GMH77" t="s">
        <v>633</v>
      </c>
      <c r="GMI77" t="s">
        <v>229</v>
      </c>
      <c r="GMJ77" t="s">
        <v>633</v>
      </c>
      <c r="GMK77" t="s">
        <v>229</v>
      </c>
      <c r="GML77" t="s">
        <v>633</v>
      </c>
      <c r="GMM77" t="s">
        <v>229</v>
      </c>
      <c r="GMN77" t="s">
        <v>633</v>
      </c>
      <c r="GMO77" t="s">
        <v>229</v>
      </c>
      <c r="GMP77" t="s">
        <v>633</v>
      </c>
      <c r="GMQ77" t="s">
        <v>229</v>
      </c>
      <c r="GMR77" t="s">
        <v>633</v>
      </c>
      <c r="GMS77" t="s">
        <v>229</v>
      </c>
      <c r="GMT77" t="s">
        <v>633</v>
      </c>
      <c r="GMU77" t="s">
        <v>229</v>
      </c>
      <c r="GMV77" t="s">
        <v>633</v>
      </c>
      <c r="GMW77" t="s">
        <v>229</v>
      </c>
      <c r="GMX77" t="s">
        <v>633</v>
      </c>
      <c r="GMY77" t="s">
        <v>229</v>
      </c>
      <c r="GMZ77" t="s">
        <v>633</v>
      </c>
      <c r="GNA77" t="s">
        <v>229</v>
      </c>
      <c r="GNB77" t="s">
        <v>633</v>
      </c>
      <c r="GNC77" t="s">
        <v>229</v>
      </c>
      <c r="GND77" t="s">
        <v>633</v>
      </c>
      <c r="GNE77" t="s">
        <v>229</v>
      </c>
      <c r="GNF77" t="s">
        <v>633</v>
      </c>
      <c r="GNG77" t="s">
        <v>229</v>
      </c>
      <c r="GNH77" t="s">
        <v>633</v>
      </c>
      <c r="GNI77" t="s">
        <v>229</v>
      </c>
      <c r="GNJ77" t="s">
        <v>633</v>
      </c>
      <c r="GNK77" t="s">
        <v>229</v>
      </c>
      <c r="GNL77" t="s">
        <v>633</v>
      </c>
      <c r="GNM77" t="s">
        <v>229</v>
      </c>
      <c r="GNN77" t="s">
        <v>633</v>
      </c>
      <c r="GNO77" t="s">
        <v>229</v>
      </c>
      <c r="GNP77" t="s">
        <v>633</v>
      </c>
      <c r="GNQ77" t="s">
        <v>229</v>
      </c>
      <c r="GNR77" t="s">
        <v>633</v>
      </c>
      <c r="GNS77" t="s">
        <v>229</v>
      </c>
      <c r="GNT77" t="s">
        <v>633</v>
      </c>
      <c r="GNU77" t="s">
        <v>229</v>
      </c>
      <c r="GNV77" t="s">
        <v>633</v>
      </c>
      <c r="GNW77" t="s">
        <v>229</v>
      </c>
      <c r="GNX77" t="s">
        <v>633</v>
      </c>
      <c r="GNY77" t="s">
        <v>229</v>
      </c>
      <c r="GNZ77" t="s">
        <v>633</v>
      </c>
      <c r="GOA77" t="s">
        <v>229</v>
      </c>
      <c r="GOB77" t="s">
        <v>633</v>
      </c>
      <c r="GOC77" t="s">
        <v>229</v>
      </c>
      <c r="GOD77" t="s">
        <v>633</v>
      </c>
      <c r="GOE77" t="s">
        <v>229</v>
      </c>
      <c r="GOF77" t="s">
        <v>633</v>
      </c>
      <c r="GOG77" t="s">
        <v>229</v>
      </c>
      <c r="GOH77" t="s">
        <v>633</v>
      </c>
      <c r="GOI77" t="s">
        <v>229</v>
      </c>
      <c r="GOJ77" t="s">
        <v>633</v>
      </c>
      <c r="GOK77" t="s">
        <v>229</v>
      </c>
      <c r="GOL77" t="s">
        <v>633</v>
      </c>
      <c r="GOM77" t="s">
        <v>229</v>
      </c>
      <c r="GON77" t="s">
        <v>633</v>
      </c>
      <c r="GOO77" t="s">
        <v>229</v>
      </c>
      <c r="GOP77" t="s">
        <v>633</v>
      </c>
      <c r="GOQ77" t="s">
        <v>229</v>
      </c>
      <c r="GOR77" t="s">
        <v>633</v>
      </c>
      <c r="GOS77" t="s">
        <v>229</v>
      </c>
      <c r="GOT77" t="s">
        <v>633</v>
      </c>
      <c r="GOU77" t="s">
        <v>229</v>
      </c>
      <c r="GOV77" t="s">
        <v>633</v>
      </c>
      <c r="GOW77" t="s">
        <v>229</v>
      </c>
      <c r="GOX77" t="s">
        <v>633</v>
      </c>
      <c r="GOY77" t="s">
        <v>229</v>
      </c>
      <c r="GOZ77" t="s">
        <v>633</v>
      </c>
      <c r="GPA77" t="s">
        <v>229</v>
      </c>
      <c r="GPB77" t="s">
        <v>633</v>
      </c>
      <c r="GPC77" t="s">
        <v>229</v>
      </c>
      <c r="GPD77" t="s">
        <v>633</v>
      </c>
      <c r="GPE77" t="s">
        <v>229</v>
      </c>
      <c r="GPF77" t="s">
        <v>633</v>
      </c>
      <c r="GPG77" t="s">
        <v>229</v>
      </c>
      <c r="GPH77" t="s">
        <v>633</v>
      </c>
      <c r="GPI77" t="s">
        <v>229</v>
      </c>
      <c r="GPJ77" t="s">
        <v>633</v>
      </c>
      <c r="GPK77" t="s">
        <v>229</v>
      </c>
      <c r="GPL77" t="s">
        <v>633</v>
      </c>
      <c r="GPM77" t="s">
        <v>229</v>
      </c>
      <c r="GPN77" t="s">
        <v>633</v>
      </c>
      <c r="GPO77" t="s">
        <v>229</v>
      </c>
      <c r="GPP77" t="s">
        <v>633</v>
      </c>
      <c r="GPQ77" t="s">
        <v>229</v>
      </c>
      <c r="GPR77" t="s">
        <v>633</v>
      </c>
      <c r="GPS77" t="s">
        <v>229</v>
      </c>
      <c r="GPT77" t="s">
        <v>633</v>
      </c>
      <c r="GPU77" t="s">
        <v>229</v>
      </c>
      <c r="GPV77" t="s">
        <v>633</v>
      </c>
      <c r="GPW77" t="s">
        <v>229</v>
      </c>
      <c r="GPX77" t="s">
        <v>633</v>
      </c>
      <c r="GPY77" t="s">
        <v>229</v>
      </c>
      <c r="GPZ77" t="s">
        <v>633</v>
      </c>
      <c r="GQA77" t="s">
        <v>229</v>
      </c>
      <c r="GQB77" t="s">
        <v>633</v>
      </c>
      <c r="GQC77" t="s">
        <v>229</v>
      </c>
      <c r="GQD77" t="s">
        <v>633</v>
      </c>
      <c r="GQE77" t="s">
        <v>229</v>
      </c>
      <c r="GQF77" t="s">
        <v>633</v>
      </c>
      <c r="GQG77" t="s">
        <v>229</v>
      </c>
      <c r="GQH77" t="s">
        <v>633</v>
      </c>
      <c r="GQI77" t="s">
        <v>229</v>
      </c>
      <c r="GQJ77" t="s">
        <v>633</v>
      </c>
      <c r="GQK77" t="s">
        <v>229</v>
      </c>
      <c r="GQL77" t="s">
        <v>633</v>
      </c>
      <c r="GQM77" t="s">
        <v>229</v>
      </c>
      <c r="GQN77" t="s">
        <v>633</v>
      </c>
      <c r="GQO77" t="s">
        <v>229</v>
      </c>
      <c r="GQP77" t="s">
        <v>633</v>
      </c>
      <c r="GQQ77" t="s">
        <v>229</v>
      </c>
      <c r="GQR77" t="s">
        <v>633</v>
      </c>
      <c r="GQS77" t="s">
        <v>229</v>
      </c>
      <c r="GQT77" t="s">
        <v>633</v>
      </c>
      <c r="GQU77" t="s">
        <v>229</v>
      </c>
      <c r="GQV77" t="s">
        <v>633</v>
      </c>
      <c r="GQW77" t="s">
        <v>229</v>
      </c>
      <c r="GQX77" t="s">
        <v>633</v>
      </c>
      <c r="GQY77" t="s">
        <v>229</v>
      </c>
      <c r="GQZ77" t="s">
        <v>633</v>
      </c>
      <c r="GRA77" t="s">
        <v>229</v>
      </c>
      <c r="GRB77" t="s">
        <v>633</v>
      </c>
      <c r="GRC77" t="s">
        <v>229</v>
      </c>
      <c r="GRD77" t="s">
        <v>633</v>
      </c>
      <c r="GRE77" t="s">
        <v>229</v>
      </c>
      <c r="GRF77" t="s">
        <v>633</v>
      </c>
      <c r="GRG77" t="s">
        <v>229</v>
      </c>
      <c r="GRH77" t="s">
        <v>633</v>
      </c>
      <c r="GRI77" t="s">
        <v>229</v>
      </c>
      <c r="GRJ77" t="s">
        <v>633</v>
      </c>
      <c r="GRK77" t="s">
        <v>229</v>
      </c>
      <c r="GRL77" t="s">
        <v>633</v>
      </c>
      <c r="GRM77" t="s">
        <v>229</v>
      </c>
      <c r="GRN77" t="s">
        <v>633</v>
      </c>
      <c r="GRO77" t="s">
        <v>229</v>
      </c>
      <c r="GRP77" t="s">
        <v>633</v>
      </c>
      <c r="GRQ77" t="s">
        <v>229</v>
      </c>
      <c r="GRR77" t="s">
        <v>633</v>
      </c>
      <c r="GRS77" t="s">
        <v>229</v>
      </c>
      <c r="GRT77" t="s">
        <v>633</v>
      </c>
      <c r="GRU77" t="s">
        <v>229</v>
      </c>
      <c r="GRV77" t="s">
        <v>633</v>
      </c>
      <c r="GRW77" t="s">
        <v>229</v>
      </c>
      <c r="GRX77" t="s">
        <v>633</v>
      </c>
      <c r="GRY77" t="s">
        <v>229</v>
      </c>
      <c r="GRZ77" t="s">
        <v>633</v>
      </c>
      <c r="GSA77" t="s">
        <v>229</v>
      </c>
      <c r="GSB77" t="s">
        <v>633</v>
      </c>
      <c r="GSC77" t="s">
        <v>229</v>
      </c>
      <c r="GSD77" t="s">
        <v>633</v>
      </c>
      <c r="GSE77" t="s">
        <v>229</v>
      </c>
      <c r="GSF77" t="s">
        <v>633</v>
      </c>
      <c r="GSG77" t="s">
        <v>229</v>
      </c>
      <c r="GSH77" t="s">
        <v>633</v>
      </c>
      <c r="GSI77" t="s">
        <v>229</v>
      </c>
      <c r="GSJ77" t="s">
        <v>633</v>
      </c>
      <c r="GSK77" t="s">
        <v>229</v>
      </c>
      <c r="GSL77" t="s">
        <v>633</v>
      </c>
      <c r="GSM77" t="s">
        <v>229</v>
      </c>
      <c r="GSN77" t="s">
        <v>633</v>
      </c>
      <c r="GSO77" t="s">
        <v>229</v>
      </c>
      <c r="GSP77" t="s">
        <v>633</v>
      </c>
      <c r="GSQ77" t="s">
        <v>229</v>
      </c>
      <c r="GSR77" t="s">
        <v>633</v>
      </c>
      <c r="GSS77" t="s">
        <v>229</v>
      </c>
      <c r="GST77" t="s">
        <v>633</v>
      </c>
      <c r="GSU77" t="s">
        <v>229</v>
      </c>
      <c r="GSV77" t="s">
        <v>633</v>
      </c>
      <c r="GSW77" t="s">
        <v>229</v>
      </c>
      <c r="GSX77" t="s">
        <v>633</v>
      </c>
      <c r="GSY77" t="s">
        <v>229</v>
      </c>
      <c r="GSZ77" t="s">
        <v>633</v>
      </c>
      <c r="GTA77" t="s">
        <v>229</v>
      </c>
      <c r="GTB77" t="s">
        <v>633</v>
      </c>
      <c r="GTC77" t="s">
        <v>229</v>
      </c>
      <c r="GTD77" t="s">
        <v>633</v>
      </c>
      <c r="GTE77" t="s">
        <v>229</v>
      </c>
      <c r="GTF77" t="s">
        <v>633</v>
      </c>
      <c r="GTG77" t="s">
        <v>229</v>
      </c>
      <c r="GTH77" t="s">
        <v>633</v>
      </c>
      <c r="GTI77" t="s">
        <v>229</v>
      </c>
      <c r="GTJ77" t="s">
        <v>633</v>
      </c>
      <c r="GTK77" t="s">
        <v>229</v>
      </c>
      <c r="GTL77" t="s">
        <v>633</v>
      </c>
      <c r="GTM77" t="s">
        <v>229</v>
      </c>
      <c r="GTN77" t="s">
        <v>633</v>
      </c>
      <c r="GTO77" t="s">
        <v>229</v>
      </c>
      <c r="GTP77" t="s">
        <v>633</v>
      </c>
      <c r="GTQ77" t="s">
        <v>229</v>
      </c>
      <c r="GTR77" t="s">
        <v>633</v>
      </c>
      <c r="GTS77" t="s">
        <v>229</v>
      </c>
      <c r="GTT77" t="s">
        <v>633</v>
      </c>
      <c r="GTU77" t="s">
        <v>229</v>
      </c>
      <c r="GTV77" t="s">
        <v>633</v>
      </c>
      <c r="GTW77" t="s">
        <v>229</v>
      </c>
      <c r="GTX77" t="s">
        <v>633</v>
      </c>
      <c r="GTY77" t="s">
        <v>229</v>
      </c>
      <c r="GTZ77" t="s">
        <v>633</v>
      </c>
      <c r="GUA77" t="s">
        <v>229</v>
      </c>
      <c r="GUB77" t="s">
        <v>633</v>
      </c>
      <c r="GUC77" t="s">
        <v>229</v>
      </c>
      <c r="GUD77" t="s">
        <v>633</v>
      </c>
      <c r="GUE77" t="s">
        <v>229</v>
      </c>
      <c r="GUF77" t="s">
        <v>633</v>
      </c>
      <c r="GUG77" t="s">
        <v>229</v>
      </c>
      <c r="GUH77" t="s">
        <v>633</v>
      </c>
      <c r="GUI77" t="s">
        <v>229</v>
      </c>
      <c r="GUJ77" t="s">
        <v>633</v>
      </c>
      <c r="GUK77" t="s">
        <v>229</v>
      </c>
      <c r="GUL77" t="s">
        <v>633</v>
      </c>
      <c r="GUM77" t="s">
        <v>229</v>
      </c>
      <c r="GUN77" t="s">
        <v>633</v>
      </c>
      <c r="GUO77" t="s">
        <v>229</v>
      </c>
      <c r="GUP77" t="s">
        <v>633</v>
      </c>
      <c r="GUQ77" t="s">
        <v>229</v>
      </c>
      <c r="GUR77" t="s">
        <v>633</v>
      </c>
      <c r="GUS77" t="s">
        <v>229</v>
      </c>
      <c r="GUT77" t="s">
        <v>633</v>
      </c>
      <c r="GUU77" t="s">
        <v>229</v>
      </c>
      <c r="GUV77" t="s">
        <v>633</v>
      </c>
      <c r="GUW77" t="s">
        <v>229</v>
      </c>
      <c r="GUX77" t="s">
        <v>633</v>
      </c>
      <c r="GUY77" t="s">
        <v>229</v>
      </c>
      <c r="GUZ77" t="s">
        <v>633</v>
      </c>
      <c r="GVA77" t="s">
        <v>229</v>
      </c>
      <c r="GVB77" t="s">
        <v>633</v>
      </c>
      <c r="GVC77" t="s">
        <v>229</v>
      </c>
      <c r="GVD77" t="s">
        <v>633</v>
      </c>
      <c r="GVE77" t="s">
        <v>229</v>
      </c>
      <c r="GVF77" t="s">
        <v>633</v>
      </c>
      <c r="GVG77" t="s">
        <v>229</v>
      </c>
      <c r="GVH77" t="s">
        <v>633</v>
      </c>
      <c r="GVI77" t="s">
        <v>229</v>
      </c>
      <c r="GVJ77" t="s">
        <v>633</v>
      </c>
      <c r="GVK77" t="s">
        <v>229</v>
      </c>
      <c r="GVL77" t="s">
        <v>633</v>
      </c>
      <c r="GVM77" t="s">
        <v>229</v>
      </c>
      <c r="GVN77" t="s">
        <v>633</v>
      </c>
      <c r="GVO77" t="s">
        <v>229</v>
      </c>
      <c r="GVP77" t="s">
        <v>633</v>
      </c>
      <c r="GVQ77" t="s">
        <v>229</v>
      </c>
      <c r="GVR77" t="s">
        <v>633</v>
      </c>
      <c r="GVS77" t="s">
        <v>229</v>
      </c>
      <c r="GVT77" t="s">
        <v>633</v>
      </c>
      <c r="GVU77" t="s">
        <v>229</v>
      </c>
      <c r="GVV77" t="s">
        <v>633</v>
      </c>
      <c r="GVW77" t="s">
        <v>229</v>
      </c>
      <c r="GVX77" t="s">
        <v>633</v>
      </c>
      <c r="GVY77" t="s">
        <v>229</v>
      </c>
      <c r="GVZ77" t="s">
        <v>633</v>
      </c>
      <c r="GWA77" t="s">
        <v>229</v>
      </c>
      <c r="GWB77" t="s">
        <v>633</v>
      </c>
      <c r="GWC77" t="s">
        <v>229</v>
      </c>
      <c r="GWD77" t="s">
        <v>633</v>
      </c>
      <c r="GWE77" t="s">
        <v>229</v>
      </c>
      <c r="GWF77" t="s">
        <v>633</v>
      </c>
      <c r="GWG77" t="s">
        <v>229</v>
      </c>
      <c r="GWH77" t="s">
        <v>633</v>
      </c>
      <c r="GWI77" t="s">
        <v>229</v>
      </c>
      <c r="GWJ77" t="s">
        <v>633</v>
      </c>
      <c r="GWK77" t="s">
        <v>229</v>
      </c>
      <c r="GWL77" t="s">
        <v>633</v>
      </c>
      <c r="GWM77" t="s">
        <v>229</v>
      </c>
      <c r="GWN77" t="s">
        <v>633</v>
      </c>
      <c r="GWO77" t="s">
        <v>229</v>
      </c>
      <c r="GWP77" t="s">
        <v>633</v>
      </c>
      <c r="GWQ77" t="s">
        <v>229</v>
      </c>
      <c r="GWR77" t="s">
        <v>633</v>
      </c>
      <c r="GWS77" t="s">
        <v>229</v>
      </c>
      <c r="GWT77" t="s">
        <v>633</v>
      </c>
      <c r="GWU77" t="s">
        <v>229</v>
      </c>
      <c r="GWV77" t="s">
        <v>633</v>
      </c>
      <c r="GWW77" t="s">
        <v>229</v>
      </c>
      <c r="GWX77" t="s">
        <v>633</v>
      </c>
      <c r="GWY77" t="s">
        <v>229</v>
      </c>
      <c r="GWZ77" t="s">
        <v>633</v>
      </c>
      <c r="GXA77" t="s">
        <v>229</v>
      </c>
      <c r="GXB77" t="s">
        <v>633</v>
      </c>
      <c r="GXC77" t="s">
        <v>229</v>
      </c>
      <c r="GXD77" t="s">
        <v>633</v>
      </c>
      <c r="GXE77" t="s">
        <v>229</v>
      </c>
      <c r="GXF77" t="s">
        <v>633</v>
      </c>
      <c r="GXG77" t="s">
        <v>229</v>
      </c>
      <c r="GXH77" t="s">
        <v>633</v>
      </c>
      <c r="GXI77" t="s">
        <v>229</v>
      </c>
      <c r="GXJ77" t="s">
        <v>633</v>
      </c>
      <c r="GXK77" t="s">
        <v>229</v>
      </c>
      <c r="GXL77" t="s">
        <v>633</v>
      </c>
      <c r="GXM77" t="s">
        <v>229</v>
      </c>
      <c r="GXN77" t="s">
        <v>633</v>
      </c>
      <c r="GXO77" t="s">
        <v>229</v>
      </c>
      <c r="GXP77" t="s">
        <v>633</v>
      </c>
      <c r="GXQ77" t="s">
        <v>229</v>
      </c>
      <c r="GXR77" t="s">
        <v>633</v>
      </c>
      <c r="GXS77" t="s">
        <v>229</v>
      </c>
      <c r="GXT77" t="s">
        <v>633</v>
      </c>
      <c r="GXU77" t="s">
        <v>229</v>
      </c>
      <c r="GXV77" t="s">
        <v>633</v>
      </c>
      <c r="GXW77" t="s">
        <v>229</v>
      </c>
      <c r="GXX77" t="s">
        <v>633</v>
      </c>
      <c r="GXY77" t="s">
        <v>229</v>
      </c>
      <c r="GXZ77" t="s">
        <v>633</v>
      </c>
      <c r="GYA77" t="s">
        <v>229</v>
      </c>
      <c r="GYB77" t="s">
        <v>633</v>
      </c>
      <c r="GYC77" t="s">
        <v>229</v>
      </c>
      <c r="GYD77" t="s">
        <v>633</v>
      </c>
      <c r="GYE77" t="s">
        <v>229</v>
      </c>
      <c r="GYF77" t="s">
        <v>633</v>
      </c>
      <c r="GYG77" t="s">
        <v>229</v>
      </c>
      <c r="GYH77" t="s">
        <v>633</v>
      </c>
      <c r="GYI77" t="s">
        <v>229</v>
      </c>
      <c r="GYJ77" t="s">
        <v>633</v>
      </c>
      <c r="GYK77" t="s">
        <v>229</v>
      </c>
      <c r="GYL77" t="s">
        <v>633</v>
      </c>
      <c r="GYM77" t="s">
        <v>229</v>
      </c>
      <c r="GYN77" t="s">
        <v>633</v>
      </c>
      <c r="GYO77" t="s">
        <v>229</v>
      </c>
      <c r="GYP77" t="s">
        <v>633</v>
      </c>
      <c r="GYQ77" t="s">
        <v>229</v>
      </c>
      <c r="GYR77" t="s">
        <v>633</v>
      </c>
      <c r="GYS77" t="s">
        <v>229</v>
      </c>
      <c r="GYT77" t="s">
        <v>633</v>
      </c>
      <c r="GYU77" t="s">
        <v>229</v>
      </c>
      <c r="GYV77" t="s">
        <v>633</v>
      </c>
      <c r="GYW77" t="s">
        <v>229</v>
      </c>
      <c r="GYX77" t="s">
        <v>633</v>
      </c>
      <c r="GYY77" t="s">
        <v>229</v>
      </c>
      <c r="GYZ77" t="s">
        <v>633</v>
      </c>
      <c r="GZA77" t="s">
        <v>229</v>
      </c>
      <c r="GZB77" t="s">
        <v>633</v>
      </c>
      <c r="GZC77" t="s">
        <v>229</v>
      </c>
      <c r="GZD77" t="s">
        <v>633</v>
      </c>
      <c r="GZE77" t="s">
        <v>229</v>
      </c>
      <c r="GZF77" t="s">
        <v>633</v>
      </c>
      <c r="GZG77" t="s">
        <v>229</v>
      </c>
      <c r="GZH77" t="s">
        <v>633</v>
      </c>
      <c r="GZI77" t="s">
        <v>229</v>
      </c>
      <c r="GZJ77" t="s">
        <v>633</v>
      </c>
      <c r="GZK77" t="s">
        <v>229</v>
      </c>
      <c r="GZL77" t="s">
        <v>633</v>
      </c>
      <c r="GZM77" t="s">
        <v>229</v>
      </c>
      <c r="GZN77" t="s">
        <v>633</v>
      </c>
      <c r="GZO77" t="s">
        <v>229</v>
      </c>
      <c r="GZP77" t="s">
        <v>633</v>
      </c>
      <c r="GZQ77" t="s">
        <v>229</v>
      </c>
      <c r="GZR77" t="s">
        <v>633</v>
      </c>
      <c r="GZS77" t="s">
        <v>229</v>
      </c>
      <c r="GZT77" t="s">
        <v>633</v>
      </c>
      <c r="GZU77" t="s">
        <v>229</v>
      </c>
      <c r="GZV77" t="s">
        <v>633</v>
      </c>
      <c r="GZW77" t="s">
        <v>229</v>
      </c>
      <c r="GZX77" t="s">
        <v>633</v>
      </c>
      <c r="GZY77" t="s">
        <v>229</v>
      </c>
      <c r="GZZ77" t="s">
        <v>633</v>
      </c>
      <c r="HAA77" t="s">
        <v>229</v>
      </c>
      <c r="HAB77" t="s">
        <v>633</v>
      </c>
      <c r="HAC77" t="s">
        <v>229</v>
      </c>
      <c r="HAD77" t="s">
        <v>633</v>
      </c>
      <c r="HAE77" t="s">
        <v>229</v>
      </c>
      <c r="HAF77" t="s">
        <v>633</v>
      </c>
      <c r="HAG77" t="s">
        <v>229</v>
      </c>
      <c r="HAH77" t="s">
        <v>633</v>
      </c>
      <c r="HAI77" t="s">
        <v>229</v>
      </c>
      <c r="HAJ77" t="s">
        <v>633</v>
      </c>
      <c r="HAK77" t="s">
        <v>229</v>
      </c>
      <c r="HAL77" t="s">
        <v>633</v>
      </c>
      <c r="HAM77" t="s">
        <v>229</v>
      </c>
      <c r="HAN77" t="s">
        <v>633</v>
      </c>
      <c r="HAO77" t="s">
        <v>229</v>
      </c>
      <c r="HAP77" t="s">
        <v>633</v>
      </c>
      <c r="HAQ77" t="s">
        <v>229</v>
      </c>
      <c r="HAR77" t="s">
        <v>633</v>
      </c>
      <c r="HAS77" t="s">
        <v>229</v>
      </c>
      <c r="HAT77" t="s">
        <v>633</v>
      </c>
      <c r="HAU77" t="s">
        <v>229</v>
      </c>
      <c r="HAV77" t="s">
        <v>633</v>
      </c>
      <c r="HAW77" t="s">
        <v>229</v>
      </c>
      <c r="HAX77" t="s">
        <v>633</v>
      </c>
      <c r="HAY77" t="s">
        <v>229</v>
      </c>
      <c r="HAZ77" t="s">
        <v>633</v>
      </c>
      <c r="HBA77" t="s">
        <v>229</v>
      </c>
      <c r="HBB77" t="s">
        <v>633</v>
      </c>
      <c r="HBC77" t="s">
        <v>229</v>
      </c>
      <c r="HBD77" t="s">
        <v>633</v>
      </c>
      <c r="HBE77" t="s">
        <v>229</v>
      </c>
      <c r="HBF77" t="s">
        <v>633</v>
      </c>
      <c r="HBG77" t="s">
        <v>229</v>
      </c>
      <c r="HBH77" t="s">
        <v>633</v>
      </c>
      <c r="HBI77" t="s">
        <v>229</v>
      </c>
      <c r="HBJ77" t="s">
        <v>633</v>
      </c>
      <c r="HBK77" t="s">
        <v>229</v>
      </c>
      <c r="HBL77" t="s">
        <v>633</v>
      </c>
      <c r="HBM77" t="s">
        <v>229</v>
      </c>
      <c r="HBN77" t="s">
        <v>633</v>
      </c>
      <c r="HBO77" t="s">
        <v>229</v>
      </c>
      <c r="HBP77" t="s">
        <v>633</v>
      </c>
      <c r="HBQ77" t="s">
        <v>229</v>
      </c>
      <c r="HBR77" t="s">
        <v>633</v>
      </c>
      <c r="HBS77" t="s">
        <v>229</v>
      </c>
      <c r="HBT77" t="s">
        <v>633</v>
      </c>
      <c r="HBU77" t="s">
        <v>229</v>
      </c>
      <c r="HBV77" t="s">
        <v>633</v>
      </c>
      <c r="HBW77" t="s">
        <v>229</v>
      </c>
      <c r="HBX77" t="s">
        <v>633</v>
      </c>
      <c r="HBY77" t="s">
        <v>229</v>
      </c>
      <c r="HBZ77" t="s">
        <v>633</v>
      </c>
      <c r="HCA77" t="s">
        <v>229</v>
      </c>
      <c r="HCB77" t="s">
        <v>633</v>
      </c>
      <c r="HCC77" t="s">
        <v>229</v>
      </c>
      <c r="HCD77" t="s">
        <v>633</v>
      </c>
      <c r="HCE77" t="s">
        <v>229</v>
      </c>
      <c r="HCF77" t="s">
        <v>633</v>
      </c>
      <c r="HCG77" t="s">
        <v>229</v>
      </c>
      <c r="HCH77" t="s">
        <v>633</v>
      </c>
      <c r="HCI77" t="s">
        <v>229</v>
      </c>
      <c r="HCJ77" t="s">
        <v>633</v>
      </c>
      <c r="HCK77" t="s">
        <v>229</v>
      </c>
      <c r="HCL77" t="s">
        <v>633</v>
      </c>
      <c r="HCM77" t="s">
        <v>229</v>
      </c>
      <c r="HCN77" t="s">
        <v>633</v>
      </c>
      <c r="HCO77" t="s">
        <v>229</v>
      </c>
      <c r="HCP77" t="s">
        <v>633</v>
      </c>
      <c r="HCQ77" t="s">
        <v>229</v>
      </c>
      <c r="HCR77" t="s">
        <v>633</v>
      </c>
      <c r="HCS77" t="s">
        <v>229</v>
      </c>
      <c r="HCT77" t="s">
        <v>633</v>
      </c>
      <c r="HCU77" t="s">
        <v>229</v>
      </c>
      <c r="HCV77" t="s">
        <v>633</v>
      </c>
      <c r="HCW77" t="s">
        <v>229</v>
      </c>
      <c r="HCX77" t="s">
        <v>633</v>
      </c>
      <c r="HCY77" t="s">
        <v>229</v>
      </c>
      <c r="HCZ77" t="s">
        <v>633</v>
      </c>
      <c r="HDA77" t="s">
        <v>229</v>
      </c>
      <c r="HDB77" t="s">
        <v>633</v>
      </c>
      <c r="HDC77" t="s">
        <v>229</v>
      </c>
      <c r="HDD77" t="s">
        <v>633</v>
      </c>
      <c r="HDE77" t="s">
        <v>229</v>
      </c>
      <c r="HDF77" t="s">
        <v>633</v>
      </c>
      <c r="HDG77" t="s">
        <v>229</v>
      </c>
      <c r="HDH77" t="s">
        <v>633</v>
      </c>
      <c r="HDI77" t="s">
        <v>229</v>
      </c>
      <c r="HDJ77" t="s">
        <v>633</v>
      </c>
      <c r="HDK77" t="s">
        <v>229</v>
      </c>
      <c r="HDL77" t="s">
        <v>633</v>
      </c>
      <c r="HDM77" t="s">
        <v>229</v>
      </c>
      <c r="HDN77" t="s">
        <v>633</v>
      </c>
      <c r="HDO77" t="s">
        <v>229</v>
      </c>
      <c r="HDP77" t="s">
        <v>633</v>
      </c>
      <c r="HDQ77" t="s">
        <v>229</v>
      </c>
      <c r="HDR77" t="s">
        <v>633</v>
      </c>
      <c r="HDS77" t="s">
        <v>229</v>
      </c>
      <c r="HDT77" t="s">
        <v>633</v>
      </c>
      <c r="HDU77" t="s">
        <v>229</v>
      </c>
      <c r="HDV77" t="s">
        <v>633</v>
      </c>
      <c r="HDW77" t="s">
        <v>229</v>
      </c>
      <c r="HDX77" t="s">
        <v>633</v>
      </c>
      <c r="HDY77" t="s">
        <v>229</v>
      </c>
      <c r="HDZ77" t="s">
        <v>633</v>
      </c>
      <c r="HEA77" t="s">
        <v>229</v>
      </c>
      <c r="HEB77" t="s">
        <v>633</v>
      </c>
      <c r="HEC77" t="s">
        <v>229</v>
      </c>
      <c r="HED77" t="s">
        <v>633</v>
      </c>
      <c r="HEE77" t="s">
        <v>229</v>
      </c>
      <c r="HEF77" t="s">
        <v>633</v>
      </c>
      <c r="HEG77" t="s">
        <v>229</v>
      </c>
      <c r="HEH77" t="s">
        <v>633</v>
      </c>
      <c r="HEI77" t="s">
        <v>229</v>
      </c>
      <c r="HEJ77" t="s">
        <v>633</v>
      </c>
      <c r="HEK77" t="s">
        <v>229</v>
      </c>
      <c r="HEL77" t="s">
        <v>633</v>
      </c>
      <c r="HEM77" t="s">
        <v>229</v>
      </c>
      <c r="HEN77" t="s">
        <v>633</v>
      </c>
      <c r="HEO77" t="s">
        <v>229</v>
      </c>
      <c r="HEP77" t="s">
        <v>633</v>
      </c>
      <c r="HEQ77" t="s">
        <v>229</v>
      </c>
      <c r="HER77" t="s">
        <v>633</v>
      </c>
      <c r="HES77" t="s">
        <v>229</v>
      </c>
      <c r="HET77" t="s">
        <v>633</v>
      </c>
      <c r="HEU77" t="s">
        <v>229</v>
      </c>
      <c r="HEV77" t="s">
        <v>633</v>
      </c>
      <c r="HEW77" t="s">
        <v>229</v>
      </c>
      <c r="HEX77" t="s">
        <v>633</v>
      </c>
      <c r="HEY77" t="s">
        <v>229</v>
      </c>
      <c r="HEZ77" t="s">
        <v>633</v>
      </c>
      <c r="HFA77" t="s">
        <v>229</v>
      </c>
      <c r="HFB77" t="s">
        <v>633</v>
      </c>
      <c r="HFC77" t="s">
        <v>229</v>
      </c>
      <c r="HFD77" t="s">
        <v>633</v>
      </c>
      <c r="HFE77" t="s">
        <v>229</v>
      </c>
      <c r="HFF77" t="s">
        <v>633</v>
      </c>
      <c r="HFG77" t="s">
        <v>229</v>
      </c>
      <c r="HFH77" t="s">
        <v>633</v>
      </c>
      <c r="HFI77" t="s">
        <v>229</v>
      </c>
      <c r="HFJ77" t="s">
        <v>633</v>
      </c>
      <c r="HFK77" t="s">
        <v>229</v>
      </c>
      <c r="HFL77" t="s">
        <v>633</v>
      </c>
      <c r="HFM77" t="s">
        <v>229</v>
      </c>
      <c r="HFN77" t="s">
        <v>633</v>
      </c>
      <c r="HFO77" t="s">
        <v>229</v>
      </c>
      <c r="HFP77" t="s">
        <v>633</v>
      </c>
      <c r="HFQ77" t="s">
        <v>229</v>
      </c>
      <c r="HFR77" t="s">
        <v>633</v>
      </c>
      <c r="HFS77" t="s">
        <v>229</v>
      </c>
      <c r="HFT77" t="s">
        <v>633</v>
      </c>
      <c r="HFU77" t="s">
        <v>229</v>
      </c>
      <c r="HFV77" t="s">
        <v>633</v>
      </c>
      <c r="HFW77" t="s">
        <v>229</v>
      </c>
      <c r="HFX77" t="s">
        <v>633</v>
      </c>
      <c r="HFY77" t="s">
        <v>229</v>
      </c>
      <c r="HFZ77" t="s">
        <v>633</v>
      </c>
      <c r="HGA77" t="s">
        <v>229</v>
      </c>
      <c r="HGB77" t="s">
        <v>633</v>
      </c>
      <c r="HGC77" t="s">
        <v>229</v>
      </c>
      <c r="HGD77" t="s">
        <v>633</v>
      </c>
      <c r="HGE77" t="s">
        <v>229</v>
      </c>
      <c r="HGF77" t="s">
        <v>633</v>
      </c>
      <c r="HGG77" t="s">
        <v>229</v>
      </c>
      <c r="HGH77" t="s">
        <v>633</v>
      </c>
      <c r="HGI77" t="s">
        <v>229</v>
      </c>
      <c r="HGJ77" t="s">
        <v>633</v>
      </c>
      <c r="HGK77" t="s">
        <v>229</v>
      </c>
      <c r="HGL77" t="s">
        <v>633</v>
      </c>
      <c r="HGM77" t="s">
        <v>229</v>
      </c>
      <c r="HGN77" t="s">
        <v>633</v>
      </c>
      <c r="HGO77" t="s">
        <v>229</v>
      </c>
      <c r="HGP77" t="s">
        <v>633</v>
      </c>
      <c r="HGQ77" t="s">
        <v>229</v>
      </c>
      <c r="HGR77" t="s">
        <v>633</v>
      </c>
      <c r="HGS77" t="s">
        <v>229</v>
      </c>
      <c r="HGT77" t="s">
        <v>633</v>
      </c>
      <c r="HGU77" t="s">
        <v>229</v>
      </c>
      <c r="HGV77" t="s">
        <v>633</v>
      </c>
      <c r="HGW77" t="s">
        <v>229</v>
      </c>
      <c r="HGX77" t="s">
        <v>633</v>
      </c>
      <c r="HGY77" t="s">
        <v>229</v>
      </c>
      <c r="HGZ77" t="s">
        <v>633</v>
      </c>
      <c r="HHA77" t="s">
        <v>229</v>
      </c>
      <c r="HHB77" t="s">
        <v>633</v>
      </c>
      <c r="HHC77" t="s">
        <v>229</v>
      </c>
      <c r="HHD77" t="s">
        <v>633</v>
      </c>
      <c r="HHE77" t="s">
        <v>229</v>
      </c>
      <c r="HHF77" t="s">
        <v>633</v>
      </c>
      <c r="HHG77" t="s">
        <v>229</v>
      </c>
      <c r="HHH77" t="s">
        <v>633</v>
      </c>
      <c r="HHI77" t="s">
        <v>229</v>
      </c>
      <c r="HHJ77" t="s">
        <v>633</v>
      </c>
      <c r="HHK77" t="s">
        <v>229</v>
      </c>
      <c r="HHL77" t="s">
        <v>633</v>
      </c>
      <c r="HHM77" t="s">
        <v>229</v>
      </c>
      <c r="HHN77" t="s">
        <v>633</v>
      </c>
      <c r="HHO77" t="s">
        <v>229</v>
      </c>
      <c r="HHP77" t="s">
        <v>633</v>
      </c>
      <c r="HHQ77" t="s">
        <v>229</v>
      </c>
      <c r="HHR77" t="s">
        <v>633</v>
      </c>
      <c r="HHS77" t="s">
        <v>229</v>
      </c>
      <c r="HHT77" t="s">
        <v>633</v>
      </c>
      <c r="HHU77" t="s">
        <v>229</v>
      </c>
      <c r="HHV77" t="s">
        <v>633</v>
      </c>
      <c r="HHW77" t="s">
        <v>229</v>
      </c>
      <c r="HHX77" t="s">
        <v>633</v>
      </c>
      <c r="HHY77" t="s">
        <v>229</v>
      </c>
      <c r="HHZ77" t="s">
        <v>633</v>
      </c>
      <c r="HIA77" t="s">
        <v>229</v>
      </c>
      <c r="HIB77" t="s">
        <v>633</v>
      </c>
      <c r="HIC77" t="s">
        <v>229</v>
      </c>
      <c r="HID77" t="s">
        <v>633</v>
      </c>
      <c r="HIE77" t="s">
        <v>229</v>
      </c>
      <c r="HIF77" t="s">
        <v>633</v>
      </c>
      <c r="HIG77" t="s">
        <v>229</v>
      </c>
      <c r="HIH77" t="s">
        <v>633</v>
      </c>
      <c r="HII77" t="s">
        <v>229</v>
      </c>
      <c r="HIJ77" t="s">
        <v>633</v>
      </c>
      <c r="HIK77" t="s">
        <v>229</v>
      </c>
      <c r="HIL77" t="s">
        <v>633</v>
      </c>
      <c r="HIM77" t="s">
        <v>229</v>
      </c>
      <c r="HIN77" t="s">
        <v>633</v>
      </c>
      <c r="HIO77" t="s">
        <v>229</v>
      </c>
      <c r="HIP77" t="s">
        <v>633</v>
      </c>
      <c r="HIQ77" t="s">
        <v>229</v>
      </c>
      <c r="HIR77" t="s">
        <v>633</v>
      </c>
      <c r="HIS77" t="s">
        <v>229</v>
      </c>
      <c r="HIT77" t="s">
        <v>633</v>
      </c>
      <c r="HIU77" t="s">
        <v>229</v>
      </c>
      <c r="HIV77" t="s">
        <v>633</v>
      </c>
      <c r="HIW77" t="s">
        <v>229</v>
      </c>
      <c r="HIX77" t="s">
        <v>633</v>
      </c>
      <c r="HIY77" t="s">
        <v>229</v>
      </c>
      <c r="HIZ77" t="s">
        <v>633</v>
      </c>
      <c r="HJA77" t="s">
        <v>229</v>
      </c>
      <c r="HJB77" t="s">
        <v>633</v>
      </c>
      <c r="HJC77" t="s">
        <v>229</v>
      </c>
      <c r="HJD77" t="s">
        <v>633</v>
      </c>
      <c r="HJE77" t="s">
        <v>229</v>
      </c>
      <c r="HJF77" t="s">
        <v>633</v>
      </c>
      <c r="HJG77" t="s">
        <v>229</v>
      </c>
      <c r="HJH77" t="s">
        <v>633</v>
      </c>
      <c r="HJI77" t="s">
        <v>229</v>
      </c>
      <c r="HJJ77" t="s">
        <v>633</v>
      </c>
      <c r="HJK77" t="s">
        <v>229</v>
      </c>
      <c r="HJL77" t="s">
        <v>633</v>
      </c>
      <c r="HJM77" t="s">
        <v>229</v>
      </c>
      <c r="HJN77" t="s">
        <v>633</v>
      </c>
      <c r="HJO77" t="s">
        <v>229</v>
      </c>
      <c r="HJP77" t="s">
        <v>633</v>
      </c>
      <c r="HJQ77" t="s">
        <v>229</v>
      </c>
      <c r="HJR77" t="s">
        <v>633</v>
      </c>
      <c r="HJS77" t="s">
        <v>229</v>
      </c>
      <c r="HJT77" t="s">
        <v>633</v>
      </c>
      <c r="HJU77" t="s">
        <v>229</v>
      </c>
      <c r="HJV77" t="s">
        <v>633</v>
      </c>
      <c r="HJW77" t="s">
        <v>229</v>
      </c>
      <c r="HJX77" t="s">
        <v>633</v>
      </c>
      <c r="HJY77" t="s">
        <v>229</v>
      </c>
      <c r="HJZ77" t="s">
        <v>633</v>
      </c>
      <c r="HKA77" t="s">
        <v>229</v>
      </c>
      <c r="HKB77" t="s">
        <v>633</v>
      </c>
      <c r="HKC77" t="s">
        <v>229</v>
      </c>
      <c r="HKD77" t="s">
        <v>633</v>
      </c>
      <c r="HKE77" t="s">
        <v>229</v>
      </c>
      <c r="HKF77" t="s">
        <v>633</v>
      </c>
      <c r="HKG77" t="s">
        <v>229</v>
      </c>
      <c r="HKH77" t="s">
        <v>633</v>
      </c>
      <c r="HKI77" t="s">
        <v>229</v>
      </c>
      <c r="HKJ77" t="s">
        <v>633</v>
      </c>
      <c r="HKK77" t="s">
        <v>229</v>
      </c>
      <c r="HKL77" t="s">
        <v>633</v>
      </c>
      <c r="HKM77" t="s">
        <v>229</v>
      </c>
      <c r="HKN77" t="s">
        <v>633</v>
      </c>
      <c r="HKO77" t="s">
        <v>229</v>
      </c>
      <c r="HKP77" t="s">
        <v>633</v>
      </c>
      <c r="HKQ77" t="s">
        <v>229</v>
      </c>
      <c r="HKR77" t="s">
        <v>633</v>
      </c>
      <c r="HKS77" t="s">
        <v>229</v>
      </c>
      <c r="HKT77" t="s">
        <v>633</v>
      </c>
      <c r="HKU77" t="s">
        <v>229</v>
      </c>
      <c r="HKV77" t="s">
        <v>633</v>
      </c>
      <c r="HKW77" t="s">
        <v>229</v>
      </c>
      <c r="HKX77" t="s">
        <v>633</v>
      </c>
      <c r="HKY77" t="s">
        <v>229</v>
      </c>
      <c r="HKZ77" t="s">
        <v>633</v>
      </c>
      <c r="HLA77" t="s">
        <v>229</v>
      </c>
      <c r="HLB77" t="s">
        <v>633</v>
      </c>
      <c r="HLC77" t="s">
        <v>229</v>
      </c>
      <c r="HLD77" t="s">
        <v>633</v>
      </c>
      <c r="HLE77" t="s">
        <v>229</v>
      </c>
      <c r="HLF77" t="s">
        <v>633</v>
      </c>
      <c r="HLG77" t="s">
        <v>229</v>
      </c>
      <c r="HLH77" t="s">
        <v>633</v>
      </c>
      <c r="HLI77" t="s">
        <v>229</v>
      </c>
      <c r="HLJ77" t="s">
        <v>633</v>
      </c>
      <c r="HLK77" t="s">
        <v>229</v>
      </c>
      <c r="HLL77" t="s">
        <v>633</v>
      </c>
      <c r="HLM77" t="s">
        <v>229</v>
      </c>
      <c r="HLN77" t="s">
        <v>633</v>
      </c>
      <c r="HLO77" t="s">
        <v>229</v>
      </c>
      <c r="HLP77" t="s">
        <v>633</v>
      </c>
      <c r="HLQ77" t="s">
        <v>229</v>
      </c>
      <c r="HLR77" t="s">
        <v>633</v>
      </c>
      <c r="HLS77" t="s">
        <v>229</v>
      </c>
      <c r="HLT77" t="s">
        <v>633</v>
      </c>
      <c r="HLU77" t="s">
        <v>229</v>
      </c>
      <c r="HLV77" t="s">
        <v>633</v>
      </c>
      <c r="HLW77" t="s">
        <v>229</v>
      </c>
      <c r="HLX77" t="s">
        <v>633</v>
      </c>
      <c r="HLY77" t="s">
        <v>229</v>
      </c>
      <c r="HLZ77" t="s">
        <v>633</v>
      </c>
      <c r="HMA77" t="s">
        <v>229</v>
      </c>
      <c r="HMB77" t="s">
        <v>633</v>
      </c>
      <c r="HMC77" t="s">
        <v>229</v>
      </c>
      <c r="HMD77" t="s">
        <v>633</v>
      </c>
      <c r="HME77" t="s">
        <v>229</v>
      </c>
      <c r="HMF77" t="s">
        <v>633</v>
      </c>
      <c r="HMG77" t="s">
        <v>229</v>
      </c>
      <c r="HMH77" t="s">
        <v>633</v>
      </c>
      <c r="HMI77" t="s">
        <v>229</v>
      </c>
      <c r="HMJ77" t="s">
        <v>633</v>
      </c>
      <c r="HMK77" t="s">
        <v>229</v>
      </c>
      <c r="HML77" t="s">
        <v>633</v>
      </c>
      <c r="HMM77" t="s">
        <v>229</v>
      </c>
      <c r="HMN77" t="s">
        <v>633</v>
      </c>
      <c r="HMO77" t="s">
        <v>229</v>
      </c>
      <c r="HMP77" t="s">
        <v>633</v>
      </c>
      <c r="HMQ77" t="s">
        <v>229</v>
      </c>
      <c r="HMR77" t="s">
        <v>633</v>
      </c>
      <c r="HMS77" t="s">
        <v>229</v>
      </c>
      <c r="HMT77" t="s">
        <v>633</v>
      </c>
      <c r="HMU77" t="s">
        <v>229</v>
      </c>
      <c r="HMV77" t="s">
        <v>633</v>
      </c>
      <c r="HMW77" t="s">
        <v>229</v>
      </c>
      <c r="HMX77" t="s">
        <v>633</v>
      </c>
      <c r="HMY77" t="s">
        <v>229</v>
      </c>
      <c r="HMZ77" t="s">
        <v>633</v>
      </c>
      <c r="HNA77" t="s">
        <v>229</v>
      </c>
      <c r="HNB77" t="s">
        <v>633</v>
      </c>
      <c r="HNC77" t="s">
        <v>229</v>
      </c>
      <c r="HND77" t="s">
        <v>633</v>
      </c>
      <c r="HNE77" t="s">
        <v>229</v>
      </c>
      <c r="HNF77" t="s">
        <v>633</v>
      </c>
      <c r="HNG77" t="s">
        <v>229</v>
      </c>
      <c r="HNH77" t="s">
        <v>633</v>
      </c>
      <c r="HNI77" t="s">
        <v>229</v>
      </c>
      <c r="HNJ77" t="s">
        <v>633</v>
      </c>
      <c r="HNK77" t="s">
        <v>229</v>
      </c>
      <c r="HNL77" t="s">
        <v>633</v>
      </c>
      <c r="HNM77" t="s">
        <v>229</v>
      </c>
      <c r="HNN77" t="s">
        <v>633</v>
      </c>
      <c r="HNO77" t="s">
        <v>229</v>
      </c>
      <c r="HNP77" t="s">
        <v>633</v>
      </c>
      <c r="HNQ77" t="s">
        <v>229</v>
      </c>
      <c r="HNR77" t="s">
        <v>633</v>
      </c>
      <c r="HNS77" t="s">
        <v>229</v>
      </c>
      <c r="HNT77" t="s">
        <v>633</v>
      </c>
      <c r="HNU77" t="s">
        <v>229</v>
      </c>
      <c r="HNV77" t="s">
        <v>633</v>
      </c>
      <c r="HNW77" t="s">
        <v>229</v>
      </c>
      <c r="HNX77" t="s">
        <v>633</v>
      </c>
      <c r="HNY77" t="s">
        <v>229</v>
      </c>
      <c r="HNZ77" t="s">
        <v>633</v>
      </c>
      <c r="HOA77" t="s">
        <v>229</v>
      </c>
      <c r="HOB77" t="s">
        <v>633</v>
      </c>
      <c r="HOC77" t="s">
        <v>229</v>
      </c>
      <c r="HOD77" t="s">
        <v>633</v>
      </c>
      <c r="HOE77" t="s">
        <v>229</v>
      </c>
      <c r="HOF77" t="s">
        <v>633</v>
      </c>
      <c r="HOG77" t="s">
        <v>229</v>
      </c>
      <c r="HOH77" t="s">
        <v>633</v>
      </c>
      <c r="HOI77" t="s">
        <v>229</v>
      </c>
      <c r="HOJ77" t="s">
        <v>633</v>
      </c>
      <c r="HOK77" t="s">
        <v>229</v>
      </c>
      <c r="HOL77" t="s">
        <v>633</v>
      </c>
      <c r="HOM77" t="s">
        <v>229</v>
      </c>
      <c r="HON77" t="s">
        <v>633</v>
      </c>
      <c r="HOO77" t="s">
        <v>229</v>
      </c>
      <c r="HOP77" t="s">
        <v>633</v>
      </c>
      <c r="HOQ77" t="s">
        <v>229</v>
      </c>
      <c r="HOR77" t="s">
        <v>633</v>
      </c>
      <c r="HOS77" t="s">
        <v>229</v>
      </c>
      <c r="HOT77" t="s">
        <v>633</v>
      </c>
      <c r="HOU77" t="s">
        <v>229</v>
      </c>
      <c r="HOV77" t="s">
        <v>633</v>
      </c>
      <c r="HOW77" t="s">
        <v>229</v>
      </c>
      <c r="HOX77" t="s">
        <v>633</v>
      </c>
      <c r="HOY77" t="s">
        <v>229</v>
      </c>
      <c r="HOZ77" t="s">
        <v>633</v>
      </c>
      <c r="HPA77" t="s">
        <v>229</v>
      </c>
      <c r="HPB77" t="s">
        <v>633</v>
      </c>
      <c r="HPC77" t="s">
        <v>229</v>
      </c>
      <c r="HPD77" t="s">
        <v>633</v>
      </c>
      <c r="HPE77" t="s">
        <v>229</v>
      </c>
      <c r="HPF77" t="s">
        <v>633</v>
      </c>
      <c r="HPG77" t="s">
        <v>229</v>
      </c>
      <c r="HPH77" t="s">
        <v>633</v>
      </c>
      <c r="HPI77" t="s">
        <v>229</v>
      </c>
      <c r="HPJ77" t="s">
        <v>633</v>
      </c>
      <c r="HPK77" t="s">
        <v>229</v>
      </c>
      <c r="HPL77" t="s">
        <v>633</v>
      </c>
      <c r="HPM77" t="s">
        <v>229</v>
      </c>
      <c r="HPN77" t="s">
        <v>633</v>
      </c>
      <c r="HPO77" t="s">
        <v>229</v>
      </c>
      <c r="HPP77" t="s">
        <v>633</v>
      </c>
      <c r="HPQ77" t="s">
        <v>229</v>
      </c>
      <c r="HPR77" t="s">
        <v>633</v>
      </c>
      <c r="HPS77" t="s">
        <v>229</v>
      </c>
      <c r="HPT77" t="s">
        <v>633</v>
      </c>
      <c r="HPU77" t="s">
        <v>229</v>
      </c>
      <c r="HPV77" t="s">
        <v>633</v>
      </c>
      <c r="HPW77" t="s">
        <v>229</v>
      </c>
      <c r="HPX77" t="s">
        <v>633</v>
      </c>
      <c r="HPY77" t="s">
        <v>229</v>
      </c>
      <c r="HPZ77" t="s">
        <v>633</v>
      </c>
      <c r="HQA77" t="s">
        <v>229</v>
      </c>
      <c r="HQB77" t="s">
        <v>633</v>
      </c>
      <c r="HQC77" t="s">
        <v>229</v>
      </c>
      <c r="HQD77" t="s">
        <v>633</v>
      </c>
      <c r="HQE77" t="s">
        <v>229</v>
      </c>
      <c r="HQF77" t="s">
        <v>633</v>
      </c>
      <c r="HQG77" t="s">
        <v>229</v>
      </c>
      <c r="HQH77" t="s">
        <v>633</v>
      </c>
      <c r="HQI77" t="s">
        <v>229</v>
      </c>
      <c r="HQJ77" t="s">
        <v>633</v>
      </c>
      <c r="HQK77" t="s">
        <v>229</v>
      </c>
      <c r="HQL77" t="s">
        <v>633</v>
      </c>
      <c r="HQM77" t="s">
        <v>229</v>
      </c>
      <c r="HQN77" t="s">
        <v>633</v>
      </c>
      <c r="HQO77" t="s">
        <v>229</v>
      </c>
      <c r="HQP77" t="s">
        <v>633</v>
      </c>
      <c r="HQQ77" t="s">
        <v>229</v>
      </c>
      <c r="HQR77" t="s">
        <v>633</v>
      </c>
      <c r="HQS77" t="s">
        <v>229</v>
      </c>
      <c r="HQT77" t="s">
        <v>633</v>
      </c>
      <c r="HQU77" t="s">
        <v>229</v>
      </c>
      <c r="HQV77" t="s">
        <v>633</v>
      </c>
      <c r="HQW77" t="s">
        <v>229</v>
      </c>
      <c r="HQX77" t="s">
        <v>633</v>
      </c>
      <c r="HQY77" t="s">
        <v>229</v>
      </c>
      <c r="HQZ77" t="s">
        <v>633</v>
      </c>
      <c r="HRA77" t="s">
        <v>229</v>
      </c>
      <c r="HRB77" t="s">
        <v>633</v>
      </c>
      <c r="HRC77" t="s">
        <v>229</v>
      </c>
      <c r="HRD77" t="s">
        <v>633</v>
      </c>
      <c r="HRE77" t="s">
        <v>229</v>
      </c>
      <c r="HRF77" t="s">
        <v>633</v>
      </c>
      <c r="HRG77" t="s">
        <v>229</v>
      </c>
      <c r="HRH77" t="s">
        <v>633</v>
      </c>
      <c r="HRI77" t="s">
        <v>229</v>
      </c>
      <c r="HRJ77" t="s">
        <v>633</v>
      </c>
      <c r="HRK77" t="s">
        <v>229</v>
      </c>
      <c r="HRL77" t="s">
        <v>633</v>
      </c>
      <c r="HRM77" t="s">
        <v>229</v>
      </c>
      <c r="HRN77" t="s">
        <v>633</v>
      </c>
      <c r="HRO77" t="s">
        <v>229</v>
      </c>
      <c r="HRP77" t="s">
        <v>633</v>
      </c>
      <c r="HRQ77" t="s">
        <v>229</v>
      </c>
      <c r="HRR77" t="s">
        <v>633</v>
      </c>
      <c r="HRS77" t="s">
        <v>229</v>
      </c>
      <c r="HRT77" t="s">
        <v>633</v>
      </c>
      <c r="HRU77" t="s">
        <v>229</v>
      </c>
      <c r="HRV77" t="s">
        <v>633</v>
      </c>
      <c r="HRW77" t="s">
        <v>229</v>
      </c>
      <c r="HRX77" t="s">
        <v>633</v>
      </c>
      <c r="HRY77" t="s">
        <v>229</v>
      </c>
      <c r="HRZ77" t="s">
        <v>633</v>
      </c>
      <c r="HSA77" t="s">
        <v>229</v>
      </c>
      <c r="HSB77" t="s">
        <v>633</v>
      </c>
      <c r="HSC77" t="s">
        <v>229</v>
      </c>
      <c r="HSD77" t="s">
        <v>633</v>
      </c>
      <c r="HSE77" t="s">
        <v>229</v>
      </c>
      <c r="HSF77" t="s">
        <v>633</v>
      </c>
      <c r="HSG77" t="s">
        <v>229</v>
      </c>
      <c r="HSH77" t="s">
        <v>633</v>
      </c>
      <c r="HSI77" t="s">
        <v>229</v>
      </c>
      <c r="HSJ77" t="s">
        <v>633</v>
      </c>
      <c r="HSK77" t="s">
        <v>229</v>
      </c>
      <c r="HSL77" t="s">
        <v>633</v>
      </c>
      <c r="HSM77" t="s">
        <v>229</v>
      </c>
      <c r="HSN77" t="s">
        <v>633</v>
      </c>
      <c r="HSO77" t="s">
        <v>229</v>
      </c>
      <c r="HSP77" t="s">
        <v>633</v>
      </c>
      <c r="HSQ77" t="s">
        <v>229</v>
      </c>
      <c r="HSR77" t="s">
        <v>633</v>
      </c>
      <c r="HSS77" t="s">
        <v>229</v>
      </c>
      <c r="HST77" t="s">
        <v>633</v>
      </c>
      <c r="HSU77" t="s">
        <v>229</v>
      </c>
      <c r="HSV77" t="s">
        <v>633</v>
      </c>
      <c r="HSW77" t="s">
        <v>229</v>
      </c>
      <c r="HSX77" t="s">
        <v>633</v>
      </c>
      <c r="HSY77" t="s">
        <v>229</v>
      </c>
      <c r="HSZ77" t="s">
        <v>633</v>
      </c>
      <c r="HTA77" t="s">
        <v>229</v>
      </c>
      <c r="HTB77" t="s">
        <v>633</v>
      </c>
      <c r="HTC77" t="s">
        <v>229</v>
      </c>
      <c r="HTD77" t="s">
        <v>633</v>
      </c>
      <c r="HTE77" t="s">
        <v>229</v>
      </c>
      <c r="HTF77" t="s">
        <v>633</v>
      </c>
      <c r="HTG77" t="s">
        <v>229</v>
      </c>
      <c r="HTH77" t="s">
        <v>633</v>
      </c>
      <c r="HTI77" t="s">
        <v>229</v>
      </c>
      <c r="HTJ77" t="s">
        <v>633</v>
      </c>
      <c r="HTK77" t="s">
        <v>229</v>
      </c>
      <c r="HTL77" t="s">
        <v>633</v>
      </c>
      <c r="HTM77" t="s">
        <v>229</v>
      </c>
      <c r="HTN77" t="s">
        <v>633</v>
      </c>
      <c r="HTO77" t="s">
        <v>229</v>
      </c>
      <c r="HTP77" t="s">
        <v>633</v>
      </c>
      <c r="HTQ77" t="s">
        <v>229</v>
      </c>
      <c r="HTR77" t="s">
        <v>633</v>
      </c>
      <c r="HTS77" t="s">
        <v>229</v>
      </c>
      <c r="HTT77" t="s">
        <v>633</v>
      </c>
      <c r="HTU77" t="s">
        <v>229</v>
      </c>
      <c r="HTV77" t="s">
        <v>633</v>
      </c>
      <c r="HTW77" t="s">
        <v>229</v>
      </c>
      <c r="HTX77" t="s">
        <v>633</v>
      </c>
      <c r="HTY77" t="s">
        <v>229</v>
      </c>
      <c r="HTZ77" t="s">
        <v>633</v>
      </c>
      <c r="HUA77" t="s">
        <v>229</v>
      </c>
      <c r="HUB77" t="s">
        <v>633</v>
      </c>
      <c r="HUC77" t="s">
        <v>229</v>
      </c>
      <c r="HUD77" t="s">
        <v>633</v>
      </c>
      <c r="HUE77" t="s">
        <v>229</v>
      </c>
      <c r="HUF77" t="s">
        <v>633</v>
      </c>
      <c r="HUG77" t="s">
        <v>229</v>
      </c>
      <c r="HUH77" t="s">
        <v>633</v>
      </c>
      <c r="HUI77" t="s">
        <v>229</v>
      </c>
      <c r="HUJ77" t="s">
        <v>633</v>
      </c>
      <c r="HUK77" t="s">
        <v>229</v>
      </c>
      <c r="HUL77" t="s">
        <v>633</v>
      </c>
      <c r="HUM77" t="s">
        <v>229</v>
      </c>
      <c r="HUN77" t="s">
        <v>633</v>
      </c>
      <c r="HUO77" t="s">
        <v>229</v>
      </c>
      <c r="HUP77" t="s">
        <v>633</v>
      </c>
      <c r="HUQ77" t="s">
        <v>229</v>
      </c>
      <c r="HUR77" t="s">
        <v>633</v>
      </c>
      <c r="HUS77" t="s">
        <v>229</v>
      </c>
      <c r="HUT77" t="s">
        <v>633</v>
      </c>
      <c r="HUU77" t="s">
        <v>229</v>
      </c>
      <c r="HUV77" t="s">
        <v>633</v>
      </c>
      <c r="HUW77" t="s">
        <v>229</v>
      </c>
      <c r="HUX77" t="s">
        <v>633</v>
      </c>
      <c r="HUY77" t="s">
        <v>229</v>
      </c>
      <c r="HUZ77" t="s">
        <v>633</v>
      </c>
      <c r="HVA77" t="s">
        <v>229</v>
      </c>
      <c r="HVB77" t="s">
        <v>633</v>
      </c>
      <c r="HVC77" t="s">
        <v>229</v>
      </c>
      <c r="HVD77" t="s">
        <v>633</v>
      </c>
      <c r="HVE77" t="s">
        <v>229</v>
      </c>
      <c r="HVF77" t="s">
        <v>633</v>
      </c>
      <c r="HVG77" t="s">
        <v>229</v>
      </c>
      <c r="HVH77" t="s">
        <v>633</v>
      </c>
      <c r="HVI77" t="s">
        <v>229</v>
      </c>
      <c r="HVJ77" t="s">
        <v>633</v>
      </c>
      <c r="HVK77" t="s">
        <v>229</v>
      </c>
      <c r="HVL77" t="s">
        <v>633</v>
      </c>
      <c r="HVM77" t="s">
        <v>229</v>
      </c>
      <c r="HVN77" t="s">
        <v>633</v>
      </c>
      <c r="HVO77" t="s">
        <v>229</v>
      </c>
      <c r="HVP77" t="s">
        <v>633</v>
      </c>
      <c r="HVQ77" t="s">
        <v>229</v>
      </c>
      <c r="HVR77" t="s">
        <v>633</v>
      </c>
      <c r="HVS77" t="s">
        <v>229</v>
      </c>
      <c r="HVT77" t="s">
        <v>633</v>
      </c>
      <c r="HVU77" t="s">
        <v>229</v>
      </c>
      <c r="HVV77" t="s">
        <v>633</v>
      </c>
      <c r="HVW77" t="s">
        <v>229</v>
      </c>
      <c r="HVX77" t="s">
        <v>633</v>
      </c>
      <c r="HVY77" t="s">
        <v>229</v>
      </c>
      <c r="HVZ77" t="s">
        <v>633</v>
      </c>
      <c r="HWA77" t="s">
        <v>229</v>
      </c>
      <c r="HWB77" t="s">
        <v>633</v>
      </c>
      <c r="HWC77" t="s">
        <v>229</v>
      </c>
      <c r="HWD77" t="s">
        <v>633</v>
      </c>
      <c r="HWE77" t="s">
        <v>229</v>
      </c>
      <c r="HWF77" t="s">
        <v>633</v>
      </c>
      <c r="HWG77" t="s">
        <v>229</v>
      </c>
      <c r="HWH77" t="s">
        <v>633</v>
      </c>
      <c r="HWI77" t="s">
        <v>229</v>
      </c>
      <c r="HWJ77" t="s">
        <v>633</v>
      </c>
      <c r="HWK77" t="s">
        <v>229</v>
      </c>
      <c r="HWL77" t="s">
        <v>633</v>
      </c>
      <c r="HWM77" t="s">
        <v>229</v>
      </c>
      <c r="HWN77" t="s">
        <v>633</v>
      </c>
      <c r="HWO77" t="s">
        <v>229</v>
      </c>
      <c r="HWP77" t="s">
        <v>633</v>
      </c>
      <c r="HWQ77" t="s">
        <v>229</v>
      </c>
      <c r="HWR77" t="s">
        <v>633</v>
      </c>
      <c r="HWS77" t="s">
        <v>229</v>
      </c>
      <c r="HWT77" t="s">
        <v>633</v>
      </c>
      <c r="HWU77" t="s">
        <v>229</v>
      </c>
      <c r="HWV77" t="s">
        <v>633</v>
      </c>
      <c r="HWW77" t="s">
        <v>229</v>
      </c>
      <c r="HWX77" t="s">
        <v>633</v>
      </c>
      <c r="HWY77" t="s">
        <v>229</v>
      </c>
      <c r="HWZ77" t="s">
        <v>633</v>
      </c>
      <c r="HXA77" t="s">
        <v>229</v>
      </c>
      <c r="HXB77" t="s">
        <v>633</v>
      </c>
      <c r="HXC77" t="s">
        <v>229</v>
      </c>
      <c r="HXD77" t="s">
        <v>633</v>
      </c>
      <c r="HXE77" t="s">
        <v>229</v>
      </c>
      <c r="HXF77" t="s">
        <v>633</v>
      </c>
      <c r="HXG77" t="s">
        <v>229</v>
      </c>
      <c r="HXH77" t="s">
        <v>633</v>
      </c>
      <c r="HXI77" t="s">
        <v>229</v>
      </c>
      <c r="HXJ77" t="s">
        <v>633</v>
      </c>
      <c r="HXK77" t="s">
        <v>229</v>
      </c>
      <c r="HXL77" t="s">
        <v>633</v>
      </c>
      <c r="HXM77" t="s">
        <v>229</v>
      </c>
      <c r="HXN77" t="s">
        <v>633</v>
      </c>
      <c r="HXO77" t="s">
        <v>229</v>
      </c>
      <c r="HXP77" t="s">
        <v>633</v>
      </c>
      <c r="HXQ77" t="s">
        <v>229</v>
      </c>
      <c r="HXR77" t="s">
        <v>633</v>
      </c>
      <c r="HXS77" t="s">
        <v>229</v>
      </c>
      <c r="HXT77" t="s">
        <v>633</v>
      </c>
      <c r="HXU77" t="s">
        <v>229</v>
      </c>
      <c r="HXV77" t="s">
        <v>633</v>
      </c>
      <c r="HXW77" t="s">
        <v>229</v>
      </c>
      <c r="HXX77" t="s">
        <v>633</v>
      </c>
      <c r="HXY77" t="s">
        <v>229</v>
      </c>
      <c r="HXZ77" t="s">
        <v>633</v>
      </c>
      <c r="HYA77" t="s">
        <v>229</v>
      </c>
      <c r="HYB77" t="s">
        <v>633</v>
      </c>
      <c r="HYC77" t="s">
        <v>229</v>
      </c>
      <c r="HYD77" t="s">
        <v>633</v>
      </c>
      <c r="HYE77" t="s">
        <v>229</v>
      </c>
      <c r="HYF77" t="s">
        <v>633</v>
      </c>
      <c r="HYG77" t="s">
        <v>229</v>
      </c>
      <c r="HYH77" t="s">
        <v>633</v>
      </c>
      <c r="HYI77" t="s">
        <v>229</v>
      </c>
      <c r="HYJ77" t="s">
        <v>633</v>
      </c>
      <c r="HYK77" t="s">
        <v>229</v>
      </c>
      <c r="HYL77" t="s">
        <v>633</v>
      </c>
      <c r="HYM77" t="s">
        <v>229</v>
      </c>
      <c r="HYN77" t="s">
        <v>633</v>
      </c>
      <c r="HYO77" t="s">
        <v>229</v>
      </c>
      <c r="HYP77" t="s">
        <v>633</v>
      </c>
      <c r="HYQ77" t="s">
        <v>229</v>
      </c>
      <c r="HYR77" t="s">
        <v>633</v>
      </c>
      <c r="HYS77" t="s">
        <v>229</v>
      </c>
      <c r="HYT77" t="s">
        <v>633</v>
      </c>
      <c r="HYU77" t="s">
        <v>229</v>
      </c>
      <c r="HYV77" t="s">
        <v>633</v>
      </c>
      <c r="HYW77" t="s">
        <v>229</v>
      </c>
      <c r="HYX77" t="s">
        <v>633</v>
      </c>
      <c r="HYY77" t="s">
        <v>229</v>
      </c>
      <c r="HYZ77" t="s">
        <v>633</v>
      </c>
      <c r="HZA77" t="s">
        <v>229</v>
      </c>
      <c r="HZB77" t="s">
        <v>633</v>
      </c>
      <c r="HZC77" t="s">
        <v>229</v>
      </c>
      <c r="HZD77" t="s">
        <v>633</v>
      </c>
      <c r="HZE77" t="s">
        <v>229</v>
      </c>
      <c r="HZF77" t="s">
        <v>633</v>
      </c>
      <c r="HZG77" t="s">
        <v>229</v>
      </c>
      <c r="HZH77" t="s">
        <v>633</v>
      </c>
      <c r="HZI77" t="s">
        <v>229</v>
      </c>
      <c r="HZJ77" t="s">
        <v>633</v>
      </c>
      <c r="HZK77" t="s">
        <v>229</v>
      </c>
      <c r="HZL77" t="s">
        <v>633</v>
      </c>
      <c r="HZM77" t="s">
        <v>229</v>
      </c>
      <c r="HZN77" t="s">
        <v>633</v>
      </c>
      <c r="HZO77" t="s">
        <v>229</v>
      </c>
      <c r="HZP77" t="s">
        <v>633</v>
      </c>
      <c r="HZQ77" t="s">
        <v>229</v>
      </c>
      <c r="HZR77" t="s">
        <v>633</v>
      </c>
      <c r="HZS77" t="s">
        <v>229</v>
      </c>
      <c r="HZT77" t="s">
        <v>633</v>
      </c>
      <c r="HZU77" t="s">
        <v>229</v>
      </c>
      <c r="HZV77" t="s">
        <v>633</v>
      </c>
      <c r="HZW77" t="s">
        <v>229</v>
      </c>
      <c r="HZX77" t="s">
        <v>633</v>
      </c>
      <c r="HZY77" t="s">
        <v>229</v>
      </c>
      <c r="HZZ77" t="s">
        <v>633</v>
      </c>
      <c r="IAA77" t="s">
        <v>229</v>
      </c>
      <c r="IAB77" t="s">
        <v>633</v>
      </c>
      <c r="IAC77" t="s">
        <v>229</v>
      </c>
      <c r="IAD77" t="s">
        <v>633</v>
      </c>
      <c r="IAE77" t="s">
        <v>229</v>
      </c>
      <c r="IAF77" t="s">
        <v>633</v>
      </c>
      <c r="IAG77" t="s">
        <v>229</v>
      </c>
      <c r="IAH77" t="s">
        <v>633</v>
      </c>
      <c r="IAI77" t="s">
        <v>229</v>
      </c>
      <c r="IAJ77" t="s">
        <v>633</v>
      </c>
      <c r="IAK77" t="s">
        <v>229</v>
      </c>
      <c r="IAL77" t="s">
        <v>633</v>
      </c>
      <c r="IAM77" t="s">
        <v>229</v>
      </c>
      <c r="IAN77" t="s">
        <v>633</v>
      </c>
      <c r="IAO77" t="s">
        <v>229</v>
      </c>
      <c r="IAP77" t="s">
        <v>633</v>
      </c>
      <c r="IAQ77" t="s">
        <v>229</v>
      </c>
      <c r="IAR77" t="s">
        <v>633</v>
      </c>
      <c r="IAS77" t="s">
        <v>229</v>
      </c>
      <c r="IAT77" t="s">
        <v>633</v>
      </c>
      <c r="IAU77" t="s">
        <v>229</v>
      </c>
      <c r="IAV77" t="s">
        <v>633</v>
      </c>
      <c r="IAW77" t="s">
        <v>229</v>
      </c>
      <c r="IAX77" t="s">
        <v>633</v>
      </c>
      <c r="IAY77" t="s">
        <v>229</v>
      </c>
      <c r="IAZ77" t="s">
        <v>633</v>
      </c>
      <c r="IBA77" t="s">
        <v>229</v>
      </c>
      <c r="IBB77" t="s">
        <v>633</v>
      </c>
      <c r="IBC77" t="s">
        <v>229</v>
      </c>
      <c r="IBD77" t="s">
        <v>633</v>
      </c>
      <c r="IBE77" t="s">
        <v>229</v>
      </c>
      <c r="IBF77" t="s">
        <v>633</v>
      </c>
      <c r="IBG77" t="s">
        <v>229</v>
      </c>
      <c r="IBH77" t="s">
        <v>633</v>
      </c>
      <c r="IBI77" t="s">
        <v>229</v>
      </c>
      <c r="IBJ77" t="s">
        <v>633</v>
      </c>
      <c r="IBK77" t="s">
        <v>229</v>
      </c>
      <c r="IBL77" t="s">
        <v>633</v>
      </c>
      <c r="IBM77" t="s">
        <v>229</v>
      </c>
      <c r="IBN77" t="s">
        <v>633</v>
      </c>
      <c r="IBO77" t="s">
        <v>229</v>
      </c>
      <c r="IBP77" t="s">
        <v>633</v>
      </c>
      <c r="IBQ77" t="s">
        <v>229</v>
      </c>
      <c r="IBR77" t="s">
        <v>633</v>
      </c>
      <c r="IBS77" t="s">
        <v>229</v>
      </c>
      <c r="IBT77" t="s">
        <v>633</v>
      </c>
      <c r="IBU77" t="s">
        <v>229</v>
      </c>
      <c r="IBV77" t="s">
        <v>633</v>
      </c>
      <c r="IBW77" t="s">
        <v>229</v>
      </c>
      <c r="IBX77" t="s">
        <v>633</v>
      </c>
      <c r="IBY77" t="s">
        <v>229</v>
      </c>
      <c r="IBZ77" t="s">
        <v>633</v>
      </c>
      <c r="ICA77" t="s">
        <v>229</v>
      </c>
      <c r="ICB77" t="s">
        <v>633</v>
      </c>
      <c r="ICC77" t="s">
        <v>229</v>
      </c>
      <c r="ICD77" t="s">
        <v>633</v>
      </c>
      <c r="ICE77" t="s">
        <v>229</v>
      </c>
      <c r="ICF77" t="s">
        <v>633</v>
      </c>
      <c r="ICG77" t="s">
        <v>229</v>
      </c>
      <c r="ICH77" t="s">
        <v>633</v>
      </c>
      <c r="ICI77" t="s">
        <v>229</v>
      </c>
      <c r="ICJ77" t="s">
        <v>633</v>
      </c>
      <c r="ICK77" t="s">
        <v>229</v>
      </c>
      <c r="ICL77" t="s">
        <v>633</v>
      </c>
      <c r="ICM77" t="s">
        <v>229</v>
      </c>
      <c r="ICN77" t="s">
        <v>633</v>
      </c>
      <c r="ICO77" t="s">
        <v>229</v>
      </c>
      <c r="ICP77" t="s">
        <v>633</v>
      </c>
      <c r="ICQ77" t="s">
        <v>229</v>
      </c>
      <c r="ICR77" t="s">
        <v>633</v>
      </c>
      <c r="ICS77" t="s">
        <v>229</v>
      </c>
      <c r="ICT77" t="s">
        <v>633</v>
      </c>
      <c r="ICU77" t="s">
        <v>229</v>
      </c>
      <c r="ICV77" t="s">
        <v>633</v>
      </c>
      <c r="ICW77" t="s">
        <v>229</v>
      </c>
      <c r="ICX77" t="s">
        <v>633</v>
      </c>
      <c r="ICY77" t="s">
        <v>229</v>
      </c>
      <c r="ICZ77" t="s">
        <v>633</v>
      </c>
      <c r="IDA77" t="s">
        <v>229</v>
      </c>
      <c r="IDB77" t="s">
        <v>633</v>
      </c>
      <c r="IDC77" t="s">
        <v>229</v>
      </c>
      <c r="IDD77" t="s">
        <v>633</v>
      </c>
      <c r="IDE77" t="s">
        <v>229</v>
      </c>
      <c r="IDF77" t="s">
        <v>633</v>
      </c>
      <c r="IDG77" t="s">
        <v>229</v>
      </c>
      <c r="IDH77" t="s">
        <v>633</v>
      </c>
      <c r="IDI77" t="s">
        <v>229</v>
      </c>
      <c r="IDJ77" t="s">
        <v>633</v>
      </c>
      <c r="IDK77" t="s">
        <v>229</v>
      </c>
      <c r="IDL77" t="s">
        <v>633</v>
      </c>
      <c r="IDM77" t="s">
        <v>229</v>
      </c>
      <c r="IDN77" t="s">
        <v>633</v>
      </c>
      <c r="IDO77" t="s">
        <v>229</v>
      </c>
      <c r="IDP77" t="s">
        <v>633</v>
      </c>
      <c r="IDQ77" t="s">
        <v>229</v>
      </c>
      <c r="IDR77" t="s">
        <v>633</v>
      </c>
      <c r="IDS77" t="s">
        <v>229</v>
      </c>
      <c r="IDT77" t="s">
        <v>633</v>
      </c>
      <c r="IDU77" t="s">
        <v>229</v>
      </c>
      <c r="IDV77" t="s">
        <v>633</v>
      </c>
      <c r="IDW77" t="s">
        <v>229</v>
      </c>
      <c r="IDX77" t="s">
        <v>633</v>
      </c>
      <c r="IDY77" t="s">
        <v>229</v>
      </c>
      <c r="IDZ77" t="s">
        <v>633</v>
      </c>
      <c r="IEA77" t="s">
        <v>229</v>
      </c>
      <c r="IEB77" t="s">
        <v>633</v>
      </c>
      <c r="IEC77" t="s">
        <v>229</v>
      </c>
      <c r="IED77" t="s">
        <v>633</v>
      </c>
      <c r="IEE77" t="s">
        <v>229</v>
      </c>
      <c r="IEF77" t="s">
        <v>633</v>
      </c>
      <c r="IEG77" t="s">
        <v>229</v>
      </c>
      <c r="IEH77" t="s">
        <v>633</v>
      </c>
      <c r="IEI77" t="s">
        <v>229</v>
      </c>
      <c r="IEJ77" t="s">
        <v>633</v>
      </c>
      <c r="IEK77" t="s">
        <v>229</v>
      </c>
      <c r="IEL77" t="s">
        <v>633</v>
      </c>
      <c r="IEM77" t="s">
        <v>229</v>
      </c>
      <c r="IEN77" t="s">
        <v>633</v>
      </c>
      <c r="IEO77" t="s">
        <v>229</v>
      </c>
      <c r="IEP77" t="s">
        <v>633</v>
      </c>
      <c r="IEQ77" t="s">
        <v>229</v>
      </c>
      <c r="IER77" t="s">
        <v>633</v>
      </c>
      <c r="IES77" t="s">
        <v>229</v>
      </c>
      <c r="IET77" t="s">
        <v>633</v>
      </c>
      <c r="IEU77" t="s">
        <v>229</v>
      </c>
      <c r="IEV77" t="s">
        <v>633</v>
      </c>
      <c r="IEW77" t="s">
        <v>229</v>
      </c>
      <c r="IEX77" t="s">
        <v>633</v>
      </c>
      <c r="IEY77" t="s">
        <v>229</v>
      </c>
      <c r="IEZ77" t="s">
        <v>633</v>
      </c>
      <c r="IFA77" t="s">
        <v>229</v>
      </c>
      <c r="IFB77" t="s">
        <v>633</v>
      </c>
      <c r="IFC77" t="s">
        <v>229</v>
      </c>
      <c r="IFD77" t="s">
        <v>633</v>
      </c>
      <c r="IFE77" t="s">
        <v>229</v>
      </c>
      <c r="IFF77" t="s">
        <v>633</v>
      </c>
      <c r="IFG77" t="s">
        <v>229</v>
      </c>
      <c r="IFH77" t="s">
        <v>633</v>
      </c>
      <c r="IFI77" t="s">
        <v>229</v>
      </c>
      <c r="IFJ77" t="s">
        <v>633</v>
      </c>
      <c r="IFK77" t="s">
        <v>229</v>
      </c>
      <c r="IFL77" t="s">
        <v>633</v>
      </c>
      <c r="IFM77" t="s">
        <v>229</v>
      </c>
      <c r="IFN77" t="s">
        <v>633</v>
      </c>
      <c r="IFO77" t="s">
        <v>229</v>
      </c>
      <c r="IFP77" t="s">
        <v>633</v>
      </c>
      <c r="IFQ77" t="s">
        <v>229</v>
      </c>
      <c r="IFR77" t="s">
        <v>633</v>
      </c>
      <c r="IFS77" t="s">
        <v>229</v>
      </c>
      <c r="IFT77" t="s">
        <v>633</v>
      </c>
      <c r="IFU77" t="s">
        <v>229</v>
      </c>
      <c r="IFV77" t="s">
        <v>633</v>
      </c>
      <c r="IFW77" t="s">
        <v>229</v>
      </c>
      <c r="IFX77" t="s">
        <v>633</v>
      </c>
      <c r="IFY77" t="s">
        <v>229</v>
      </c>
      <c r="IFZ77" t="s">
        <v>633</v>
      </c>
      <c r="IGA77" t="s">
        <v>229</v>
      </c>
      <c r="IGB77" t="s">
        <v>633</v>
      </c>
      <c r="IGC77" t="s">
        <v>229</v>
      </c>
      <c r="IGD77" t="s">
        <v>633</v>
      </c>
      <c r="IGE77" t="s">
        <v>229</v>
      </c>
      <c r="IGF77" t="s">
        <v>633</v>
      </c>
      <c r="IGG77" t="s">
        <v>229</v>
      </c>
      <c r="IGH77" t="s">
        <v>633</v>
      </c>
      <c r="IGI77" t="s">
        <v>229</v>
      </c>
      <c r="IGJ77" t="s">
        <v>633</v>
      </c>
      <c r="IGK77" t="s">
        <v>229</v>
      </c>
      <c r="IGL77" t="s">
        <v>633</v>
      </c>
      <c r="IGM77" t="s">
        <v>229</v>
      </c>
      <c r="IGN77" t="s">
        <v>633</v>
      </c>
      <c r="IGO77" t="s">
        <v>229</v>
      </c>
      <c r="IGP77" t="s">
        <v>633</v>
      </c>
      <c r="IGQ77" t="s">
        <v>229</v>
      </c>
      <c r="IGR77" t="s">
        <v>633</v>
      </c>
      <c r="IGS77" t="s">
        <v>229</v>
      </c>
      <c r="IGT77" t="s">
        <v>633</v>
      </c>
      <c r="IGU77" t="s">
        <v>229</v>
      </c>
      <c r="IGV77" t="s">
        <v>633</v>
      </c>
      <c r="IGW77" t="s">
        <v>229</v>
      </c>
      <c r="IGX77" t="s">
        <v>633</v>
      </c>
      <c r="IGY77" t="s">
        <v>229</v>
      </c>
      <c r="IGZ77" t="s">
        <v>633</v>
      </c>
      <c r="IHA77" t="s">
        <v>229</v>
      </c>
      <c r="IHB77" t="s">
        <v>633</v>
      </c>
      <c r="IHC77" t="s">
        <v>229</v>
      </c>
      <c r="IHD77" t="s">
        <v>633</v>
      </c>
      <c r="IHE77" t="s">
        <v>229</v>
      </c>
      <c r="IHF77" t="s">
        <v>633</v>
      </c>
      <c r="IHG77" t="s">
        <v>229</v>
      </c>
      <c r="IHH77" t="s">
        <v>633</v>
      </c>
      <c r="IHI77" t="s">
        <v>229</v>
      </c>
      <c r="IHJ77" t="s">
        <v>633</v>
      </c>
      <c r="IHK77" t="s">
        <v>229</v>
      </c>
      <c r="IHL77" t="s">
        <v>633</v>
      </c>
      <c r="IHM77" t="s">
        <v>229</v>
      </c>
      <c r="IHN77" t="s">
        <v>633</v>
      </c>
      <c r="IHO77" t="s">
        <v>229</v>
      </c>
      <c r="IHP77" t="s">
        <v>633</v>
      </c>
      <c r="IHQ77" t="s">
        <v>229</v>
      </c>
      <c r="IHR77" t="s">
        <v>633</v>
      </c>
      <c r="IHS77" t="s">
        <v>229</v>
      </c>
      <c r="IHT77" t="s">
        <v>633</v>
      </c>
      <c r="IHU77" t="s">
        <v>229</v>
      </c>
      <c r="IHV77" t="s">
        <v>633</v>
      </c>
      <c r="IHW77" t="s">
        <v>229</v>
      </c>
      <c r="IHX77" t="s">
        <v>633</v>
      </c>
      <c r="IHY77" t="s">
        <v>229</v>
      </c>
      <c r="IHZ77" t="s">
        <v>633</v>
      </c>
      <c r="IIA77" t="s">
        <v>229</v>
      </c>
      <c r="IIB77" t="s">
        <v>633</v>
      </c>
      <c r="IIC77" t="s">
        <v>229</v>
      </c>
      <c r="IID77" t="s">
        <v>633</v>
      </c>
      <c r="IIE77" t="s">
        <v>229</v>
      </c>
      <c r="IIF77" t="s">
        <v>633</v>
      </c>
      <c r="IIG77" t="s">
        <v>229</v>
      </c>
      <c r="IIH77" t="s">
        <v>633</v>
      </c>
      <c r="III77" t="s">
        <v>229</v>
      </c>
      <c r="IIJ77" t="s">
        <v>633</v>
      </c>
      <c r="IIK77" t="s">
        <v>229</v>
      </c>
      <c r="IIL77" t="s">
        <v>633</v>
      </c>
      <c r="IIM77" t="s">
        <v>229</v>
      </c>
      <c r="IIN77" t="s">
        <v>633</v>
      </c>
      <c r="IIO77" t="s">
        <v>229</v>
      </c>
      <c r="IIP77" t="s">
        <v>633</v>
      </c>
      <c r="IIQ77" t="s">
        <v>229</v>
      </c>
      <c r="IIR77" t="s">
        <v>633</v>
      </c>
      <c r="IIS77" t="s">
        <v>229</v>
      </c>
      <c r="IIT77" t="s">
        <v>633</v>
      </c>
      <c r="IIU77" t="s">
        <v>229</v>
      </c>
      <c r="IIV77" t="s">
        <v>633</v>
      </c>
      <c r="IIW77" t="s">
        <v>229</v>
      </c>
      <c r="IIX77" t="s">
        <v>633</v>
      </c>
      <c r="IIY77" t="s">
        <v>229</v>
      </c>
      <c r="IIZ77" t="s">
        <v>633</v>
      </c>
      <c r="IJA77" t="s">
        <v>229</v>
      </c>
      <c r="IJB77" t="s">
        <v>633</v>
      </c>
      <c r="IJC77" t="s">
        <v>229</v>
      </c>
      <c r="IJD77" t="s">
        <v>633</v>
      </c>
      <c r="IJE77" t="s">
        <v>229</v>
      </c>
      <c r="IJF77" t="s">
        <v>633</v>
      </c>
      <c r="IJG77" t="s">
        <v>229</v>
      </c>
      <c r="IJH77" t="s">
        <v>633</v>
      </c>
      <c r="IJI77" t="s">
        <v>229</v>
      </c>
      <c r="IJJ77" t="s">
        <v>633</v>
      </c>
      <c r="IJK77" t="s">
        <v>229</v>
      </c>
      <c r="IJL77" t="s">
        <v>633</v>
      </c>
      <c r="IJM77" t="s">
        <v>229</v>
      </c>
      <c r="IJN77" t="s">
        <v>633</v>
      </c>
      <c r="IJO77" t="s">
        <v>229</v>
      </c>
      <c r="IJP77" t="s">
        <v>633</v>
      </c>
      <c r="IJQ77" t="s">
        <v>229</v>
      </c>
      <c r="IJR77" t="s">
        <v>633</v>
      </c>
      <c r="IJS77" t="s">
        <v>229</v>
      </c>
      <c r="IJT77" t="s">
        <v>633</v>
      </c>
      <c r="IJU77" t="s">
        <v>229</v>
      </c>
      <c r="IJV77" t="s">
        <v>633</v>
      </c>
      <c r="IJW77" t="s">
        <v>229</v>
      </c>
      <c r="IJX77" t="s">
        <v>633</v>
      </c>
      <c r="IJY77" t="s">
        <v>229</v>
      </c>
      <c r="IJZ77" t="s">
        <v>633</v>
      </c>
      <c r="IKA77" t="s">
        <v>229</v>
      </c>
      <c r="IKB77" t="s">
        <v>633</v>
      </c>
      <c r="IKC77" t="s">
        <v>229</v>
      </c>
      <c r="IKD77" t="s">
        <v>633</v>
      </c>
      <c r="IKE77" t="s">
        <v>229</v>
      </c>
      <c r="IKF77" t="s">
        <v>633</v>
      </c>
      <c r="IKG77" t="s">
        <v>229</v>
      </c>
      <c r="IKH77" t="s">
        <v>633</v>
      </c>
      <c r="IKI77" t="s">
        <v>229</v>
      </c>
      <c r="IKJ77" t="s">
        <v>633</v>
      </c>
      <c r="IKK77" t="s">
        <v>229</v>
      </c>
      <c r="IKL77" t="s">
        <v>633</v>
      </c>
      <c r="IKM77" t="s">
        <v>229</v>
      </c>
      <c r="IKN77" t="s">
        <v>633</v>
      </c>
      <c r="IKO77" t="s">
        <v>229</v>
      </c>
      <c r="IKP77" t="s">
        <v>633</v>
      </c>
      <c r="IKQ77" t="s">
        <v>229</v>
      </c>
      <c r="IKR77" t="s">
        <v>633</v>
      </c>
      <c r="IKS77" t="s">
        <v>229</v>
      </c>
      <c r="IKT77" t="s">
        <v>633</v>
      </c>
      <c r="IKU77" t="s">
        <v>229</v>
      </c>
      <c r="IKV77" t="s">
        <v>633</v>
      </c>
      <c r="IKW77" t="s">
        <v>229</v>
      </c>
      <c r="IKX77" t="s">
        <v>633</v>
      </c>
      <c r="IKY77" t="s">
        <v>229</v>
      </c>
      <c r="IKZ77" t="s">
        <v>633</v>
      </c>
      <c r="ILA77" t="s">
        <v>229</v>
      </c>
      <c r="ILB77" t="s">
        <v>633</v>
      </c>
      <c r="ILC77" t="s">
        <v>229</v>
      </c>
      <c r="ILD77" t="s">
        <v>633</v>
      </c>
      <c r="ILE77" t="s">
        <v>229</v>
      </c>
      <c r="ILF77" t="s">
        <v>633</v>
      </c>
      <c r="ILG77" t="s">
        <v>229</v>
      </c>
      <c r="ILH77" t="s">
        <v>633</v>
      </c>
      <c r="ILI77" t="s">
        <v>229</v>
      </c>
      <c r="ILJ77" t="s">
        <v>633</v>
      </c>
      <c r="ILK77" t="s">
        <v>229</v>
      </c>
      <c r="ILL77" t="s">
        <v>633</v>
      </c>
      <c r="ILM77" t="s">
        <v>229</v>
      </c>
      <c r="ILN77" t="s">
        <v>633</v>
      </c>
      <c r="ILO77" t="s">
        <v>229</v>
      </c>
      <c r="ILP77" t="s">
        <v>633</v>
      </c>
      <c r="ILQ77" t="s">
        <v>229</v>
      </c>
      <c r="ILR77" t="s">
        <v>633</v>
      </c>
      <c r="ILS77" t="s">
        <v>229</v>
      </c>
      <c r="ILT77" t="s">
        <v>633</v>
      </c>
      <c r="ILU77" t="s">
        <v>229</v>
      </c>
      <c r="ILV77" t="s">
        <v>633</v>
      </c>
      <c r="ILW77" t="s">
        <v>229</v>
      </c>
      <c r="ILX77" t="s">
        <v>633</v>
      </c>
      <c r="ILY77" t="s">
        <v>229</v>
      </c>
      <c r="ILZ77" t="s">
        <v>633</v>
      </c>
      <c r="IMA77" t="s">
        <v>229</v>
      </c>
      <c r="IMB77" t="s">
        <v>633</v>
      </c>
      <c r="IMC77" t="s">
        <v>229</v>
      </c>
      <c r="IMD77" t="s">
        <v>633</v>
      </c>
      <c r="IME77" t="s">
        <v>229</v>
      </c>
      <c r="IMF77" t="s">
        <v>633</v>
      </c>
      <c r="IMG77" t="s">
        <v>229</v>
      </c>
      <c r="IMH77" t="s">
        <v>633</v>
      </c>
      <c r="IMI77" t="s">
        <v>229</v>
      </c>
      <c r="IMJ77" t="s">
        <v>633</v>
      </c>
      <c r="IMK77" t="s">
        <v>229</v>
      </c>
      <c r="IML77" t="s">
        <v>633</v>
      </c>
      <c r="IMM77" t="s">
        <v>229</v>
      </c>
      <c r="IMN77" t="s">
        <v>633</v>
      </c>
      <c r="IMO77" t="s">
        <v>229</v>
      </c>
      <c r="IMP77" t="s">
        <v>633</v>
      </c>
      <c r="IMQ77" t="s">
        <v>229</v>
      </c>
      <c r="IMR77" t="s">
        <v>633</v>
      </c>
      <c r="IMS77" t="s">
        <v>229</v>
      </c>
      <c r="IMT77" t="s">
        <v>633</v>
      </c>
      <c r="IMU77" t="s">
        <v>229</v>
      </c>
      <c r="IMV77" t="s">
        <v>633</v>
      </c>
      <c r="IMW77" t="s">
        <v>229</v>
      </c>
      <c r="IMX77" t="s">
        <v>633</v>
      </c>
      <c r="IMY77" t="s">
        <v>229</v>
      </c>
      <c r="IMZ77" t="s">
        <v>633</v>
      </c>
      <c r="INA77" t="s">
        <v>229</v>
      </c>
      <c r="INB77" t="s">
        <v>633</v>
      </c>
      <c r="INC77" t="s">
        <v>229</v>
      </c>
      <c r="IND77" t="s">
        <v>633</v>
      </c>
      <c r="INE77" t="s">
        <v>229</v>
      </c>
      <c r="INF77" t="s">
        <v>633</v>
      </c>
      <c r="ING77" t="s">
        <v>229</v>
      </c>
      <c r="INH77" t="s">
        <v>633</v>
      </c>
      <c r="INI77" t="s">
        <v>229</v>
      </c>
      <c r="INJ77" t="s">
        <v>633</v>
      </c>
      <c r="INK77" t="s">
        <v>229</v>
      </c>
      <c r="INL77" t="s">
        <v>633</v>
      </c>
      <c r="INM77" t="s">
        <v>229</v>
      </c>
      <c r="INN77" t="s">
        <v>633</v>
      </c>
      <c r="INO77" t="s">
        <v>229</v>
      </c>
      <c r="INP77" t="s">
        <v>633</v>
      </c>
      <c r="INQ77" t="s">
        <v>229</v>
      </c>
      <c r="INR77" t="s">
        <v>633</v>
      </c>
      <c r="INS77" t="s">
        <v>229</v>
      </c>
      <c r="INT77" t="s">
        <v>633</v>
      </c>
      <c r="INU77" t="s">
        <v>229</v>
      </c>
      <c r="INV77" t="s">
        <v>633</v>
      </c>
      <c r="INW77" t="s">
        <v>229</v>
      </c>
      <c r="INX77" t="s">
        <v>633</v>
      </c>
      <c r="INY77" t="s">
        <v>229</v>
      </c>
      <c r="INZ77" t="s">
        <v>633</v>
      </c>
      <c r="IOA77" t="s">
        <v>229</v>
      </c>
      <c r="IOB77" t="s">
        <v>633</v>
      </c>
      <c r="IOC77" t="s">
        <v>229</v>
      </c>
      <c r="IOD77" t="s">
        <v>633</v>
      </c>
      <c r="IOE77" t="s">
        <v>229</v>
      </c>
      <c r="IOF77" t="s">
        <v>633</v>
      </c>
      <c r="IOG77" t="s">
        <v>229</v>
      </c>
      <c r="IOH77" t="s">
        <v>633</v>
      </c>
      <c r="IOI77" t="s">
        <v>229</v>
      </c>
      <c r="IOJ77" t="s">
        <v>633</v>
      </c>
      <c r="IOK77" t="s">
        <v>229</v>
      </c>
      <c r="IOL77" t="s">
        <v>633</v>
      </c>
      <c r="IOM77" t="s">
        <v>229</v>
      </c>
      <c r="ION77" t="s">
        <v>633</v>
      </c>
      <c r="IOO77" t="s">
        <v>229</v>
      </c>
      <c r="IOP77" t="s">
        <v>633</v>
      </c>
      <c r="IOQ77" t="s">
        <v>229</v>
      </c>
      <c r="IOR77" t="s">
        <v>633</v>
      </c>
      <c r="IOS77" t="s">
        <v>229</v>
      </c>
      <c r="IOT77" t="s">
        <v>633</v>
      </c>
      <c r="IOU77" t="s">
        <v>229</v>
      </c>
      <c r="IOV77" t="s">
        <v>633</v>
      </c>
      <c r="IOW77" t="s">
        <v>229</v>
      </c>
      <c r="IOX77" t="s">
        <v>633</v>
      </c>
      <c r="IOY77" t="s">
        <v>229</v>
      </c>
      <c r="IOZ77" t="s">
        <v>633</v>
      </c>
      <c r="IPA77" t="s">
        <v>229</v>
      </c>
      <c r="IPB77" t="s">
        <v>633</v>
      </c>
      <c r="IPC77" t="s">
        <v>229</v>
      </c>
      <c r="IPD77" t="s">
        <v>633</v>
      </c>
      <c r="IPE77" t="s">
        <v>229</v>
      </c>
      <c r="IPF77" t="s">
        <v>633</v>
      </c>
      <c r="IPG77" t="s">
        <v>229</v>
      </c>
      <c r="IPH77" t="s">
        <v>633</v>
      </c>
      <c r="IPI77" t="s">
        <v>229</v>
      </c>
      <c r="IPJ77" t="s">
        <v>633</v>
      </c>
      <c r="IPK77" t="s">
        <v>229</v>
      </c>
      <c r="IPL77" t="s">
        <v>633</v>
      </c>
      <c r="IPM77" t="s">
        <v>229</v>
      </c>
      <c r="IPN77" t="s">
        <v>633</v>
      </c>
      <c r="IPO77" t="s">
        <v>229</v>
      </c>
      <c r="IPP77" t="s">
        <v>633</v>
      </c>
      <c r="IPQ77" t="s">
        <v>229</v>
      </c>
      <c r="IPR77" t="s">
        <v>633</v>
      </c>
      <c r="IPS77" t="s">
        <v>229</v>
      </c>
      <c r="IPT77" t="s">
        <v>633</v>
      </c>
      <c r="IPU77" t="s">
        <v>229</v>
      </c>
      <c r="IPV77" t="s">
        <v>633</v>
      </c>
      <c r="IPW77" t="s">
        <v>229</v>
      </c>
      <c r="IPX77" t="s">
        <v>633</v>
      </c>
      <c r="IPY77" t="s">
        <v>229</v>
      </c>
      <c r="IPZ77" t="s">
        <v>633</v>
      </c>
      <c r="IQA77" t="s">
        <v>229</v>
      </c>
      <c r="IQB77" t="s">
        <v>633</v>
      </c>
      <c r="IQC77" t="s">
        <v>229</v>
      </c>
      <c r="IQD77" t="s">
        <v>633</v>
      </c>
      <c r="IQE77" t="s">
        <v>229</v>
      </c>
      <c r="IQF77" t="s">
        <v>633</v>
      </c>
      <c r="IQG77" t="s">
        <v>229</v>
      </c>
      <c r="IQH77" t="s">
        <v>633</v>
      </c>
      <c r="IQI77" t="s">
        <v>229</v>
      </c>
      <c r="IQJ77" t="s">
        <v>633</v>
      </c>
      <c r="IQK77" t="s">
        <v>229</v>
      </c>
      <c r="IQL77" t="s">
        <v>633</v>
      </c>
      <c r="IQM77" t="s">
        <v>229</v>
      </c>
      <c r="IQN77" t="s">
        <v>633</v>
      </c>
      <c r="IQO77" t="s">
        <v>229</v>
      </c>
      <c r="IQP77" t="s">
        <v>633</v>
      </c>
      <c r="IQQ77" t="s">
        <v>229</v>
      </c>
      <c r="IQR77" t="s">
        <v>633</v>
      </c>
      <c r="IQS77" t="s">
        <v>229</v>
      </c>
      <c r="IQT77" t="s">
        <v>633</v>
      </c>
      <c r="IQU77" t="s">
        <v>229</v>
      </c>
      <c r="IQV77" t="s">
        <v>633</v>
      </c>
      <c r="IQW77" t="s">
        <v>229</v>
      </c>
      <c r="IQX77" t="s">
        <v>633</v>
      </c>
      <c r="IQY77" t="s">
        <v>229</v>
      </c>
      <c r="IQZ77" t="s">
        <v>633</v>
      </c>
      <c r="IRA77" t="s">
        <v>229</v>
      </c>
      <c r="IRB77" t="s">
        <v>633</v>
      </c>
      <c r="IRC77" t="s">
        <v>229</v>
      </c>
      <c r="IRD77" t="s">
        <v>633</v>
      </c>
      <c r="IRE77" t="s">
        <v>229</v>
      </c>
      <c r="IRF77" t="s">
        <v>633</v>
      </c>
      <c r="IRG77" t="s">
        <v>229</v>
      </c>
      <c r="IRH77" t="s">
        <v>633</v>
      </c>
      <c r="IRI77" t="s">
        <v>229</v>
      </c>
      <c r="IRJ77" t="s">
        <v>633</v>
      </c>
      <c r="IRK77" t="s">
        <v>229</v>
      </c>
      <c r="IRL77" t="s">
        <v>633</v>
      </c>
      <c r="IRM77" t="s">
        <v>229</v>
      </c>
      <c r="IRN77" t="s">
        <v>633</v>
      </c>
      <c r="IRO77" t="s">
        <v>229</v>
      </c>
      <c r="IRP77" t="s">
        <v>633</v>
      </c>
      <c r="IRQ77" t="s">
        <v>229</v>
      </c>
      <c r="IRR77" t="s">
        <v>633</v>
      </c>
      <c r="IRS77" t="s">
        <v>229</v>
      </c>
      <c r="IRT77" t="s">
        <v>633</v>
      </c>
      <c r="IRU77" t="s">
        <v>229</v>
      </c>
      <c r="IRV77" t="s">
        <v>633</v>
      </c>
      <c r="IRW77" t="s">
        <v>229</v>
      </c>
      <c r="IRX77" t="s">
        <v>633</v>
      </c>
      <c r="IRY77" t="s">
        <v>229</v>
      </c>
      <c r="IRZ77" t="s">
        <v>633</v>
      </c>
      <c r="ISA77" t="s">
        <v>229</v>
      </c>
      <c r="ISB77" t="s">
        <v>633</v>
      </c>
      <c r="ISC77" t="s">
        <v>229</v>
      </c>
      <c r="ISD77" t="s">
        <v>633</v>
      </c>
      <c r="ISE77" t="s">
        <v>229</v>
      </c>
      <c r="ISF77" t="s">
        <v>633</v>
      </c>
      <c r="ISG77" t="s">
        <v>229</v>
      </c>
      <c r="ISH77" t="s">
        <v>633</v>
      </c>
      <c r="ISI77" t="s">
        <v>229</v>
      </c>
      <c r="ISJ77" t="s">
        <v>633</v>
      </c>
      <c r="ISK77" t="s">
        <v>229</v>
      </c>
      <c r="ISL77" t="s">
        <v>633</v>
      </c>
      <c r="ISM77" t="s">
        <v>229</v>
      </c>
      <c r="ISN77" t="s">
        <v>633</v>
      </c>
      <c r="ISO77" t="s">
        <v>229</v>
      </c>
      <c r="ISP77" t="s">
        <v>633</v>
      </c>
      <c r="ISQ77" t="s">
        <v>229</v>
      </c>
      <c r="ISR77" t="s">
        <v>633</v>
      </c>
      <c r="ISS77" t="s">
        <v>229</v>
      </c>
      <c r="IST77" t="s">
        <v>633</v>
      </c>
      <c r="ISU77" t="s">
        <v>229</v>
      </c>
      <c r="ISV77" t="s">
        <v>633</v>
      </c>
      <c r="ISW77" t="s">
        <v>229</v>
      </c>
      <c r="ISX77" t="s">
        <v>633</v>
      </c>
      <c r="ISY77" t="s">
        <v>229</v>
      </c>
      <c r="ISZ77" t="s">
        <v>633</v>
      </c>
      <c r="ITA77" t="s">
        <v>229</v>
      </c>
      <c r="ITB77" t="s">
        <v>633</v>
      </c>
      <c r="ITC77" t="s">
        <v>229</v>
      </c>
      <c r="ITD77" t="s">
        <v>633</v>
      </c>
      <c r="ITE77" t="s">
        <v>229</v>
      </c>
      <c r="ITF77" t="s">
        <v>633</v>
      </c>
      <c r="ITG77" t="s">
        <v>229</v>
      </c>
      <c r="ITH77" t="s">
        <v>633</v>
      </c>
      <c r="ITI77" t="s">
        <v>229</v>
      </c>
      <c r="ITJ77" t="s">
        <v>633</v>
      </c>
      <c r="ITK77" t="s">
        <v>229</v>
      </c>
      <c r="ITL77" t="s">
        <v>633</v>
      </c>
      <c r="ITM77" t="s">
        <v>229</v>
      </c>
      <c r="ITN77" t="s">
        <v>633</v>
      </c>
      <c r="ITO77" t="s">
        <v>229</v>
      </c>
      <c r="ITP77" t="s">
        <v>633</v>
      </c>
      <c r="ITQ77" t="s">
        <v>229</v>
      </c>
      <c r="ITR77" t="s">
        <v>633</v>
      </c>
      <c r="ITS77" t="s">
        <v>229</v>
      </c>
      <c r="ITT77" t="s">
        <v>633</v>
      </c>
      <c r="ITU77" t="s">
        <v>229</v>
      </c>
      <c r="ITV77" t="s">
        <v>633</v>
      </c>
      <c r="ITW77" t="s">
        <v>229</v>
      </c>
      <c r="ITX77" t="s">
        <v>633</v>
      </c>
      <c r="ITY77" t="s">
        <v>229</v>
      </c>
      <c r="ITZ77" t="s">
        <v>633</v>
      </c>
      <c r="IUA77" t="s">
        <v>229</v>
      </c>
      <c r="IUB77" t="s">
        <v>633</v>
      </c>
      <c r="IUC77" t="s">
        <v>229</v>
      </c>
      <c r="IUD77" t="s">
        <v>633</v>
      </c>
      <c r="IUE77" t="s">
        <v>229</v>
      </c>
      <c r="IUF77" t="s">
        <v>633</v>
      </c>
      <c r="IUG77" t="s">
        <v>229</v>
      </c>
      <c r="IUH77" t="s">
        <v>633</v>
      </c>
      <c r="IUI77" t="s">
        <v>229</v>
      </c>
      <c r="IUJ77" t="s">
        <v>633</v>
      </c>
      <c r="IUK77" t="s">
        <v>229</v>
      </c>
      <c r="IUL77" t="s">
        <v>633</v>
      </c>
      <c r="IUM77" t="s">
        <v>229</v>
      </c>
      <c r="IUN77" t="s">
        <v>633</v>
      </c>
      <c r="IUO77" t="s">
        <v>229</v>
      </c>
      <c r="IUP77" t="s">
        <v>633</v>
      </c>
      <c r="IUQ77" t="s">
        <v>229</v>
      </c>
      <c r="IUR77" t="s">
        <v>633</v>
      </c>
      <c r="IUS77" t="s">
        <v>229</v>
      </c>
      <c r="IUT77" t="s">
        <v>633</v>
      </c>
      <c r="IUU77" t="s">
        <v>229</v>
      </c>
      <c r="IUV77" t="s">
        <v>633</v>
      </c>
      <c r="IUW77" t="s">
        <v>229</v>
      </c>
      <c r="IUX77" t="s">
        <v>633</v>
      </c>
      <c r="IUY77" t="s">
        <v>229</v>
      </c>
      <c r="IUZ77" t="s">
        <v>633</v>
      </c>
      <c r="IVA77" t="s">
        <v>229</v>
      </c>
      <c r="IVB77" t="s">
        <v>633</v>
      </c>
      <c r="IVC77" t="s">
        <v>229</v>
      </c>
      <c r="IVD77" t="s">
        <v>633</v>
      </c>
      <c r="IVE77" t="s">
        <v>229</v>
      </c>
      <c r="IVF77" t="s">
        <v>633</v>
      </c>
      <c r="IVG77" t="s">
        <v>229</v>
      </c>
      <c r="IVH77" t="s">
        <v>633</v>
      </c>
      <c r="IVI77" t="s">
        <v>229</v>
      </c>
      <c r="IVJ77" t="s">
        <v>633</v>
      </c>
      <c r="IVK77" t="s">
        <v>229</v>
      </c>
      <c r="IVL77" t="s">
        <v>633</v>
      </c>
      <c r="IVM77" t="s">
        <v>229</v>
      </c>
      <c r="IVN77" t="s">
        <v>633</v>
      </c>
      <c r="IVO77" t="s">
        <v>229</v>
      </c>
      <c r="IVP77" t="s">
        <v>633</v>
      </c>
      <c r="IVQ77" t="s">
        <v>229</v>
      </c>
      <c r="IVR77" t="s">
        <v>633</v>
      </c>
      <c r="IVS77" t="s">
        <v>229</v>
      </c>
      <c r="IVT77" t="s">
        <v>633</v>
      </c>
      <c r="IVU77" t="s">
        <v>229</v>
      </c>
      <c r="IVV77" t="s">
        <v>633</v>
      </c>
      <c r="IVW77" t="s">
        <v>229</v>
      </c>
      <c r="IVX77" t="s">
        <v>633</v>
      </c>
      <c r="IVY77" t="s">
        <v>229</v>
      </c>
      <c r="IVZ77" t="s">
        <v>633</v>
      </c>
      <c r="IWA77" t="s">
        <v>229</v>
      </c>
      <c r="IWB77" t="s">
        <v>633</v>
      </c>
      <c r="IWC77" t="s">
        <v>229</v>
      </c>
      <c r="IWD77" t="s">
        <v>633</v>
      </c>
      <c r="IWE77" t="s">
        <v>229</v>
      </c>
      <c r="IWF77" t="s">
        <v>633</v>
      </c>
      <c r="IWG77" t="s">
        <v>229</v>
      </c>
      <c r="IWH77" t="s">
        <v>633</v>
      </c>
      <c r="IWI77" t="s">
        <v>229</v>
      </c>
      <c r="IWJ77" t="s">
        <v>633</v>
      </c>
      <c r="IWK77" t="s">
        <v>229</v>
      </c>
      <c r="IWL77" t="s">
        <v>633</v>
      </c>
      <c r="IWM77" t="s">
        <v>229</v>
      </c>
      <c r="IWN77" t="s">
        <v>633</v>
      </c>
      <c r="IWO77" t="s">
        <v>229</v>
      </c>
      <c r="IWP77" t="s">
        <v>633</v>
      </c>
      <c r="IWQ77" t="s">
        <v>229</v>
      </c>
      <c r="IWR77" t="s">
        <v>633</v>
      </c>
      <c r="IWS77" t="s">
        <v>229</v>
      </c>
      <c r="IWT77" t="s">
        <v>633</v>
      </c>
      <c r="IWU77" t="s">
        <v>229</v>
      </c>
      <c r="IWV77" t="s">
        <v>633</v>
      </c>
      <c r="IWW77" t="s">
        <v>229</v>
      </c>
      <c r="IWX77" t="s">
        <v>633</v>
      </c>
      <c r="IWY77" t="s">
        <v>229</v>
      </c>
      <c r="IWZ77" t="s">
        <v>633</v>
      </c>
      <c r="IXA77" t="s">
        <v>229</v>
      </c>
      <c r="IXB77" t="s">
        <v>633</v>
      </c>
      <c r="IXC77" t="s">
        <v>229</v>
      </c>
      <c r="IXD77" t="s">
        <v>633</v>
      </c>
      <c r="IXE77" t="s">
        <v>229</v>
      </c>
      <c r="IXF77" t="s">
        <v>633</v>
      </c>
      <c r="IXG77" t="s">
        <v>229</v>
      </c>
      <c r="IXH77" t="s">
        <v>633</v>
      </c>
      <c r="IXI77" t="s">
        <v>229</v>
      </c>
      <c r="IXJ77" t="s">
        <v>633</v>
      </c>
      <c r="IXK77" t="s">
        <v>229</v>
      </c>
      <c r="IXL77" t="s">
        <v>633</v>
      </c>
      <c r="IXM77" t="s">
        <v>229</v>
      </c>
      <c r="IXN77" t="s">
        <v>633</v>
      </c>
      <c r="IXO77" t="s">
        <v>229</v>
      </c>
      <c r="IXP77" t="s">
        <v>633</v>
      </c>
      <c r="IXQ77" t="s">
        <v>229</v>
      </c>
      <c r="IXR77" t="s">
        <v>633</v>
      </c>
      <c r="IXS77" t="s">
        <v>229</v>
      </c>
      <c r="IXT77" t="s">
        <v>633</v>
      </c>
      <c r="IXU77" t="s">
        <v>229</v>
      </c>
      <c r="IXV77" t="s">
        <v>633</v>
      </c>
      <c r="IXW77" t="s">
        <v>229</v>
      </c>
      <c r="IXX77" t="s">
        <v>633</v>
      </c>
      <c r="IXY77" t="s">
        <v>229</v>
      </c>
      <c r="IXZ77" t="s">
        <v>633</v>
      </c>
      <c r="IYA77" t="s">
        <v>229</v>
      </c>
      <c r="IYB77" t="s">
        <v>633</v>
      </c>
      <c r="IYC77" t="s">
        <v>229</v>
      </c>
      <c r="IYD77" t="s">
        <v>633</v>
      </c>
      <c r="IYE77" t="s">
        <v>229</v>
      </c>
      <c r="IYF77" t="s">
        <v>633</v>
      </c>
      <c r="IYG77" t="s">
        <v>229</v>
      </c>
      <c r="IYH77" t="s">
        <v>633</v>
      </c>
      <c r="IYI77" t="s">
        <v>229</v>
      </c>
      <c r="IYJ77" t="s">
        <v>633</v>
      </c>
      <c r="IYK77" t="s">
        <v>229</v>
      </c>
      <c r="IYL77" t="s">
        <v>633</v>
      </c>
      <c r="IYM77" t="s">
        <v>229</v>
      </c>
      <c r="IYN77" t="s">
        <v>633</v>
      </c>
      <c r="IYO77" t="s">
        <v>229</v>
      </c>
      <c r="IYP77" t="s">
        <v>633</v>
      </c>
      <c r="IYQ77" t="s">
        <v>229</v>
      </c>
      <c r="IYR77" t="s">
        <v>633</v>
      </c>
      <c r="IYS77" t="s">
        <v>229</v>
      </c>
      <c r="IYT77" t="s">
        <v>633</v>
      </c>
      <c r="IYU77" t="s">
        <v>229</v>
      </c>
      <c r="IYV77" t="s">
        <v>633</v>
      </c>
      <c r="IYW77" t="s">
        <v>229</v>
      </c>
      <c r="IYX77" t="s">
        <v>633</v>
      </c>
      <c r="IYY77" t="s">
        <v>229</v>
      </c>
      <c r="IYZ77" t="s">
        <v>633</v>
      </c>
      <c r="IZA77" t="s">
        <v>229</v>
      </c>
      <c r="IZB77" t="s">
        <v>633</v>
      </c>
      <c r="IZC77" t="s">
        <v>229</v>
      </c>
      <c r="IZD77" t="s">
        <v>633</v>
      </c>
      <c r="IZE77" t="s">
        <v>229</v>
      </c>
      <c r="IZF77" t="s">
        <v>633</v>
      </c>
      <c r="IZG77" t="s">
        <v>229</v>
      </c>
      <c r="IZH77" t="s">
        <v>633</v>
      </c>
      <c r="IZI77" t="s">
        <v>229</v>
      </c>
      <c r="IZJ77" t="s">
        <v>633</v>
      </c>
      <c r="IZK77" t="s">
        <v>229</v>
      </c>
      <c r="IZL77" t="s">
        <v>633</v>
      </c>
      <c r="IZM77" t="s">
        <v>229</v>
      </c>
      <c r="IZN77" t="s">
        <v>633</v>
      </c>
      <c r="IZO77" t="s">
        <v>229</v>
      </c>
      <c r="IZP77" t="s">
        <v>633</v>
      </c>
      <c r="IZQ77" t="s">
        <v>229</v>
      </c>
      <c r="IZR77" t="s">
        <v>633</v>
      </c>
      <c r="IZS77" t="s">
        <v>229</v>
      </c>
      <c r="IZT77" t="s">
        <v>633</v>
      </c>
      <c r="IZU77" t="s">
        <v>229</v>
      </c>
      <c r="IZV77" t="s">
        <v>633</v>
      </c>
      <c r="IZW77" t="s">
        <v>229</v>
      </c>
      <c r="IZX77" t="s">
        <v>633</v>
      </c>
      <c r="IZY77" t="s">
        <v>229</v>
      </c>
      <c r="IZZ77" t="s">
        <v>633</v>
      </c>
      <c r="JAA77" t="s">
        <v>229</v>
      </c>
      <c r="JAB77" t="s">
        <v>633</v>
      </c>
      <c r="JAC77" t="s">
        <v>229</v>
      </c>
      <c r="JAD77" t="s">
        <v>633</v>
      </c>
      <c r="JAE77" t="s">
        <v>229</v>
      </c>
      <c r="JAF77" t="s">
        <v>633</v>
      </c>
      <c r="JAG77" t="s">
        <v>229</v>
      </c>
      <c r="JAH77" t="s">
        <v>633</v>
      </c>
      <c r="JAI77" t="s">
        <v>229</v>
      </c>
      <c r="JAJ77" t="s">
        <v>633</v>
      </c>
      <c r="JAK77" t="s">
        <v>229</v>
      </c>
      <c r="JAL77" t="s">
        <v>633</v>
      </c>
      <c r="JAM77" t="s">
        <v>229</v>
      </c>
      <c r="JAN77" t="s">
        <v>633</v>
      </c>
      <c r="JAO77" t="s">
        <v>229</v>
      </c>
      <c r="JAP77" t="s">
        <v>633</v>
      </c>
      <c r="JAQ77" t="s">
        <v>229</v>
      </c>
      <c r="JAR77" t="s">
        <v>633</v>
      </c>
      <c r="JAS77" t="s">
        <v>229</v>
      </c>
      <c r="JAT77" t="s">
        <v>633</v>
      </c>
      <c r="JAU77" t="s">
        <v>229</v>
      </c>
      <c r="JAV77" t="s">
        <v>633</v>
      </c>
      <c r="JAW77" t="s">
        <v>229</v>
      </c>
      <c r="JAX77" t="s">
        <v>633</v>
      </c>
      <c r="JAY77" t="s">
        <v>229</v>
      </c>
      <c r="JAZ77" t="s">
        <v>633</v>
      </c>
      <c r="JBA77" t="s">
        <v>229</v>
      </c>
      <c r="JBB77" t="s">
        <v>633</v>
      </c>
      <c r="JBC77" t="s">
        <v>229</v>
      </c>
      <c r="JBD77" t="s">
        <v>633</v>
      </c>
      <c r="JBE77" t="s">
        <v>229</v>
      </c>
      <c r="JBF77" t="s">
        <v>633</v>
      </c>
      <c r="JBG77" t="s">
        <v>229</v>
      </c>
      <c r="JBH77" t="s">
        <v>633</v>
      </c>
      <c r="JBI77" t="s">
        <v>229</v>
      </c>
      <c r="JBJ77" t="s">
        <v>633</v>
      </c>
      <c r="JBK77" t="s">
        <v>229</v>
      </c>
      <c r="JBL77" t="s">
        <v>633</v>
      </c>
      <c r="JBM77" t="s">
        <v>229</v>
      </c>
      <c r="JBN77" t="s">
        <v>633</v>
      </c>
      <c r="JBO77" t="s">
        <v>229</v>
      </c>
      <c r="JBP77" t="s">
        <v>633</v>
      </c>
      <c r="JBQ77" t="s">
        <v>229</v>
      </c>
      <c r="JBR77" t="s">
        <v>633</v>
      </c>
      <c r="JBS77" t="s">
        <v>229</v>
      </c>
      <c r="JBT77" t="s">
        <v>633</v>
      </c>
      <c r="JBU77" t="s">
        <v>229</v>
      </c>
      <c r="JBV77" t="s">
        <v>633</v>
      </c>
      <c r="JBW77" t="s">
        <v>229</v>
      </c>
      <c r="JBX77" t="s">
        <v>633</v>
      </c>
      <c r="JBY77" t="s">
        <v>229</v>
      </c>
      <c r="JBZ77" t="s">
        <v>633</v>
      </c>
      <c r="JCA77" t="s">
        <v>229</v>
      </c>
      <c r="JCB77" t="s">
        <v>633</v>
      </c>
      <c r="JCC77" t="s">
        <v>229</v>
      </c>
      <c r="JCD77" t="s">
        <v>633</v>
      </c>
      <c r="JCE77" t="s">
        <v>229</v>
      </c>
      <c r="JCF77" t="s">
        <v>633</v>
      </c>
      <c r="JCG77" t="s">
        <v>229</v>
      </c>
      <c r="JCH77" t="s">
        <v>633</v>
      </c>
      <c r="JCI77" t="s">
        <v>229</v>
      </c>
      <c r="JCJ77" t="s">
        <v>633</v>
      </c>
      <c r="JCK77" t="s">
        <v>229</v>
      </c>
      <c r="JCL77" t="s">
        <v>633</v>
      </c>
      <c r="JCM77" t="s">
        <v>229</v>
      </c>
      <c r="JCN77" t="s">
        <v>633</v>
      </c>
      <c r="JCO77" t="s">
        <v>229</v>
      </c>
      <c r="JCP77" t="s">
        <v>633</v>
      </c>
      <c r="JCQ77" t="s">
        <v>229</v>
      </c>
      <c r="JCR77" t="s">
        <v>633</v>
      </c>
      <c r="JCS77" t="s">
        <v>229</v>
      </c>
      <c r="JCT77" t="s">
        <v>633</v>
      </c>
      <c r="JCU77" t="s">
        <v>229</v>
      </c>
      <c r="JCV77" t="s">
        <v>633</v>
      </c>
      <c r="JCW77" t="s">
        <v>229</v>
      </c>
      <c r="JCX77" t="s">
        <v>633</v>
      </c>
      <c r="JCY77" t="s">
        <v>229</v>
      </c>
      <c r="JCZ77" t="s">
        <v>633</v>
      </c>
      <c r="JDA77" t="s">
        <v>229</v>
      </c>
      <c r="JDB77" t="s">
        <v>633</v>
      </c>
      <c r="JDC77" t="s">
        <v>229</v>
      </c>
      <c r="JDD77" t="s">
        <v>633</v>
      </c>
      <c r="JDE77" t="s">
        <v>229</v>
      </c>
      <c r="JDF77" t="s">
        <v>633</v>
      </c>
      <c r="JDG77" t="s">
        <v>229</v>
      </c>
      <c r="JDH77" t="s">
        <v>633</v>
      </c>
      <c r="JDI77" t="s">
        <v>229</v>
      </c>
      <c r="JDJ77" t="s">
        <v>633</v>
      </c>
      <c r="JDK77" t="s">
        <v>229</v>
      </c>
      <c r="JDL77" t="s">
        <v>633</v>
      </c>
      <c r="JDM77" t="s">
        <v>229</v>
      </c>
      <c r="JDN77" t="s">
        <v>633</v>
      </c>
      <c r="JDO77" t="s">
        <v>229</v>
      </c>
      <c r="JDP77" t="s">
        <v>633</v>
      </c>
      <c r="JDQ77" t="s">
        <v>229</v>
      </c>
      <c r="JDR77" t="s">
        <v>633</v>
      </c>
      <c r="JDS77" t="s">
        <v>229</v>
      </c>
      <c r="JDT77" t="s">
        <v>633</v>
      </c>
      <c r="JDU77" t="s">
        <v>229</v>
      </c>
      <c r="JDV77" t="s">
        <v>633</v>
      </c>
      <c r="JDW77" t="s">
        <v>229</v>
      </c>
      <c r="JDX77" t="s">
        <v>633</v>
      </c>
      <c r="JDY77" t="s">
        <v>229</v>
      </c>
      <c r="JDZ77" t="s">
        <v>633</v>
      </c>
      <c r="JEA77" t="s">
        <v>229</v>
      </c>
      <c r="JEB77" t="s">
        <v>633</v>
      </c>
      <c r="JEC77" t="s">
        <v>229</v>
      </c>
      <c r="JED77" t="s">
        <v>633</v>
      </c>
      <c r="JEE77" t="s">
        <v>229</v>
      </c>
      <c r="JEF77" t="s">
        <v>633</v>
      </c>
      <c r="JEG77" t="s">
        <v>229</v>
      </c>
      <c r="JEH77" t="s">
        <v>633</v>
      </c>
      <c r="JEI77" t="s">
        <v>229</v>
      </c>
      <c r="JEJ77" t="s">
        <v>633</v>
      </c>
      <c r="JEK77" t="s">
        <v>229</v>
      </c>
      <c r="JEL77" t="s">
        <v>633</v>
      </c>
      <c r="JEM77" t="s">
        <v>229</v>
      </c>
      <c r="JEN77" t="s">
        <v>633</v>
      </c>
      <c r="JEO77" t="s">
        <v>229</v>
      </c>
      <c r="JEP77" t="s">
        <v>633</v>
      </c>
      <c r="JEQ77" t="s">
        <v>229</v>
      </c>
      <c r="JER77" t="s">
        <v>633</v>
      </c>
      <c r="JES77" t="s">
        <v>229</v>
      </c>
      <c r="JET77" t="s">
        <v>633</v>
      </c>
      <c r="JEU77" t="s">
        <v>229</v>
      </c>
      <c r="JEV77" t="s">
        <v>633</v>
      </c>
      <c r="JEW77" t="s">
        <v>229</v>
      </c>
      <c r="JEX77" t="s">
        <v>633</v>
      </c>
      <c r="JEY77" t="s">
        <v>229</v>
      </c>
      <c r="JEZ77" t="s">
        <v>633</v>
      </c>
      <c r="JFA77" t="s">
        <v>229</v>
      </c>
      <c r="JFB77" t="s">
        <v>633</v>
      </c>
      <c r="JFC77" t="s">
        <v>229</v>
      </c>
      <c r="JFD77" t="s">
        <v>633</v>
      </c>
      <c r="JFE77" t="s">
        <v>229</v>
      </c>
      <c r="JFF77" t="s">
        <v>633</v>
      </c>
      <c r="JFG77" t="s">
        <v>229</v>
      </c>
      <c r="JFH77" t="s">
        <v>633</v>
      </c>
      <c r="JFI77" t="s">
        <v>229</v>
      </c>
      <c r="JFJ77" t="s">
        <v>633</v>
      </c>
      <c r="JFK77" t="s">
        <v>229</v>
      </c>
      <c r="JFL77" t="s">
        <v>633</v>
      </c>
      <c r="JFM77" t="s">
        <v>229</v>
      </c>
      <c r="JFN77" t="s">
        <v>633</v>
      </c>
      <c r="JFO77" t="s">
        <v>229</v>
      </c>
      <c r="JFP77" t="s">
        <v>633</v>
      </c>
      <c r="JFQ77" t="s">
        <v>229</v>
      </c>
      <c r="JFR77" t="s">
        <v>633</v>
      </c>
      <c r="JFS77" t="s">
        <v>229</v>
      </c>
      <c r="JFT77" t="s">
        <v>633</v>
      </c>
      <c r="JFU77" t="s">
        <v>229</v>
      </c>
      <c r="JFV77" t="s">
        <v>633</v>
      </c>
      <c r="JFW77" t="s">
        <v>229</v>
      </c>
      <c r="JFX77" t="s">
        <v>633</v>
      </c>
      <c r="JFY77" t="s">
        <v>229</v>
      </c>
      <c r="JFZ77" t="s">
        <v>633</v>
      </c>
      <c r="JGA77" t="s">
        <v>229</v>
      </c>
      <c r="JGB77" t="s">
        <v>633</v>
      </c>
      <c r="JGC77" t="s">
        <v>229</v>
      </c>
      <c r="JGD77" t="s">
        <v>633</v>
      </c>
      <c r="JGE77" t="s">
        <v>229</v>
      </c>
      <c r="JGF77" t="s">
        <v>633</v>
      </c>
      <c r="JGG77" t="s">
        <v>229</v>
      </c>
      <c r="JGH77" t="s">
        <v>633</v>
      </c>
      <c r="JGI77" t="s">
        <v>229</v>
      </c>
      <c r="JGJ77" t="s">
        <v>633</v>
      </c>
      <c r="JGK77" t="s">
        <v>229</v>
      </c>
      <c r="JGL77" t="s">
        <v>633</v>
      </c>
      <c r="JGM77" t="s">
        <v>229</v>
      </c>
      <c r="JGN77" t="s">
        <v>633</v>
      </c>
      <c r="JGO77" t="s">
        <v>229</v>
      </c>
      <c r="JGP77" t="s">
        <v>633</v>
      </c>
      <c r="JGQ77" t="s">
        <v>229</v>
      </c>
      <c r="JGR77" t="s">
        <v>633</v>
      </c>
      <c r="JGS77" t="s">
        <v>229</v>
      </c>
      <c r="JGT77" t="s">
        <v>633</v>
      </c>
      <c r="JGU77" t="s">
        <v>229</v>
      </c>
      <c r="JGV77" t="s">
        <v>633</v>
      </c>
      <c r="JGW77" t="s">
        <v>229</v>
      </c>
      <c r="JGX77" t="s">
        <v>633</v>
      </c>
      <c r="JGY77" t="s">
        <v>229</v>
      </c>
      <c r="JGZ77" t="s">
        <v>633</v>
      </c>
      <c r="JHA77" t="s">
        <v>229</v>
      </c>
      <c r="JHB77" t="s">
        <v>633</v>
      </c>
      <c r="JHC77" t="s">
        <v>229</v>
      </c>
      <c r="JHD77" t="s">
        <v>633</v>
      </c>
      <c r="JHE77" t="s">
        <v>229</v>
      </c>
      <c r="JHF77" t="s">
        <v>633</v>
      </c>
      <c r="JHG77" t="s">
        <v>229</v>
      </c>
      <c r="JHH77" t="s">
        <v>633</v>
      </c>
      <c r="JHI77" t="s">
        <v>229</v>
      </c>
      <c r="JHJ77" t="s">
        <v>633</v>
      </c>
      <c r="JHK77" t="s">
        <v>229</v>
      </c>
      <c r="JHL77" t="s">
        <v>633</v>
      </c>
      <c r="JHM77" t="s">
        <v>229</v>
      </c>
      <c r="JHN77" t="s">
        <v>633</v>
      </c>
      <c r="JHO77" t="s">
        <v>229</v>
      </c>
      <c r="JHP77" t="s">
        <v>633</v>
      </c>
      <c r="JHQ77" t="s">
        <v>229</v>
      </c>
      <c r="JHR77" t="s">
        <v>633</v>
      </c>
      <c r="JHS77" t="s">
        <v>229</v>
      </c>
      <c r="JHT77" t="s">
        <v>633</v>
      </c>
      <c r="JHU77" t="s">
        <v>229</v>
      </c>
      <c r="JHV77" t="s">
        <v>633</v>
      </c>
      <c r="JHW77" t="s">
        <v>229</v>
      </c>
      <c r="JHX77" t="s">
        <v>633</v>
      </c>
      <c r="JHY77" t="s">
        <v>229</v>
      </c>
      <c r="JHZ77" t="s">
        <v>633</v>
      </c>
      <c r="JIA77" t="s">
        <v>229</v>
      </c>
      <c r="JIB77" t="s">
        <v>633</v>
      </c>
      <c r="JIC77" t="s">
        <v>229</v>
      </c>
      <c r="JID77" t="s">
        <v>633</v>
      </c>
      <c r="JIE77" t="s">
        <v>229</v>
      </c>
      <c r="JIF77" t="s">
        <v>633</v>
      </c>
      <c r="JIG77" t="s">
        <v>229</v>
      </c>
      <c r="JIH77" t="s">
        <v>633</v>
      </c>
      <c r="JII77" t="s">
        <v>229</v>
      </c>
      <c r="JIJ77" t="s">
        <v>633</v>
      </c>
      <c r="JIK77" t="s">
        <v>229</v>
      </c>
      <c r="JIL77" t="s">
        <v>633</v>
      </c>
      <c r="JIM77" t="s">
        <v>229</v>
      </c>
      <c r="JIN77" t="s">
        <v>633</v>
      </c>
      <c r="JIO77" t="s">
        <v>229</v>
      </c>
      <c r="JIP77" t="s">
        <v>633</v>
      </c>
      <c r="JIQ77" t="s">
        <v>229</v>
      </c>
      <c r="JIR77" t="s">
        <v>633</v>
      </c>
      <c r="JIS77" t="s">
        <v>229</v>
      </c>
      <c r="JIT77" t="s">
        <v>633</v>
      </c>
      <c r="JIU77" t="s">
        <v>229</v>
      </c>
      <c r="JIV77" t="s">
        <v>633</v>
      </c>
      <c r="JIW77" t="s">
        <v>229</v>
      </c>
      <c r="JIX77" t="s">
        <v>633</v>
      </c>
      <c r="JIY77" t="s">
        <v>229</v>
      </c>
      <c r="JIZ77" t="s">
        <v>633</v>
      </c>
      <c r="JJA77" t="s">
        <v>229</v>
      </c>
      <c r="JJB77" t="s">
        <v>633</v>
      </c>
      <c r="JJC77" t="s">
        <v>229</v>
      </c>
      <c r="JJD77" t="s">
        <v>633</v>
      </c>
      <c r="JJE77" t="s">
        <v>229</v>
      </c>
      <c r="JJF77" t="s">
        <v>633</v>
      </c>
      <c r="JJG77" t="s">
        <v>229</v>
      </c>
      <c r="JJH77" t="s">
        <v>633</v>
      </c>
      <c r="JJI77" t="s">
        <v>229</v>
      </c>
      <c r="JJJ77" t="s">
        <v>633</v>
      </c>
      <c r="JJK77" t="s">
        <v>229</v>
      </c>
      <c r="JJL77" t="s">
        <v>633</v>
      </c>
      <c r="JJM77" t="s">
        <v>229</v>
      </c>
      <c r="JJN77" t="s">
        <v>633</v>
      </c>
      <c r="JJO77" t="s">
        <v>229</v>
      </c>
      <c r="JJP77" t="s">
        <v>633</v>
      </c>
      <c r="JJQ77" t="s">
        <v>229</v>
      </c>
      <c r="JJR77" t="s">
        <v>633</v>
      </c>
      <c r="JJS77" t="s">
        <v>229</v>
      </c>
      <c r="JJT77" t="s">
        <v>633</v>
      </c>
      <c r="JJU77" t="s">
        <v>229</v>
      </c>
      <c r="JJV77" t="s">
        <v>633</v>
      </c>
      <c r="JJW77" t="s">
        <v>229</v>
      </c>
      <c r="JJX77" t="s">
        <v>633</v>
      </c>
      <c r="JJY77" t="s">
        <v>229</v>
      </c>
      <c r="JJZ77" t="s">
        <v>633</v>
      </c>
      <c r="JKA77" t="s">
        <v>229</v>
      </c>
      <c r="JKB77" t="s">
        <v>633</v>
      </c>
      <c r="JKC77" t="s">
        <v>229</v>
      </c>
      <c r="JKD77" t="s">
        <v>633</v>
      </c>
      <c r="JKE77" t="s">
        <v>229</v>
      </c>
      <c r="JKF77" t="s">
        <v>633</v>
      </c>
      <c r="JKG77" t="s">
        <v>229</v>
      </c>
      <c r="JKH77" t="s">
        <v>633</v>
      </c>
      <c r="JKI77" t="s">
        <v>229</v>
      </c>
      <c r="JKJ77" t="s">
        <v>633</v>
      </c>
      <c r="JKK77" t="s">
        <v>229</v>
      </c>
      <c r="JKL77" t="s">
        <v>633</v>
      </c>
      <c r="JKM77" t="s">
        <v>229</v>
      </c>
      <c r="JKN77" t="s">
        <v>633</v>
      </c>
      <c r="JKO77" t="s">
        <v>229</v>
      </c>
      <c r="JKP77" t="s">
        <v>633</v>
      </c>
      <c r="JKQ77" t="s">
        <v>229</v>
      </c>
      <c r="JKR77" t="s">
        <v>633</v>
      </c>
      <c r="JKS77" t="s">
        <v>229</v>
      </c>
      <c r="JKT77" t="s">
        <v>633</v>
      </c>
      <c r="JKU77" t="s">
        <v>229</v>
      </c>
      <c r="JKV77" t="s">
        <v>633</v>
      </c>
      <c r="JKW77" t="s">
        <v>229</v>
      </c>
      <c r="JKX77" t="s">
        <v>633</v>
      </c>
      <c r="JKY77" t="s">
        <v>229</v>
      </c>
      <c r="JKZ77" t="s">
        <v>633</v>
      </c>
      <c r="JLA77" t="s">
        <v>229</v>
      </c>
      <c r="JLB77" t="s">
        <v>633</v>
      </c>
      <c r="JLC77" t="s">
        <v>229</v>
      </c>
      <c r="JLD77" t="s">
        <v>633</v>
      </c>
      <c r="JLE77" t="s">
        <v>229</v>
      </c>
      <c r="JLF77" t="s">
        <v>633</v>
      </c>
      <c r="JLG77" t="s">
        <v>229</v>
      </c>
      <c r="JLH77" t="s">
        <v>633</v>
      </c>
      <c r="JLI77" t="s">
        <v>229</v>
      </c>
      <c r="JLJ77" t="s">
        <v>633</v>
      </c>
      <c r="JLK77" t="s">
        <v>229</v>
      </c>
      <c r="JLL77" t="s">
        <v>633</v>
      </c>
      <c r="JLM77" t="s">
        <v>229</v>
      </c>
      <c r="JLN77" t="s">
        <v>633</v>
      </c>
      <c r="JLO77" t="s">
        <v>229</v>
      </c>
      <c r="JLP77" t="s">
        <v>633</v>
      </c>
      <c r="JLQ77" t="s">
        <v>229</v>
      </c>
      <c r="JLR77" t="s">
        <v>633</v>
      </c>
      <c r="JLS77" t="s">
        <v>229</v>
      </c>
      <c r="JLT77" t="s">
        <v>633</v>
      </c>
      <c r="JLU77" t="s">
        <v>229</v>
      </c>
      <c r="JLV77" t="s">
        <v>633</v>
      </c>
      <c r="JLW77" t="s">
        <v>229</v>
      </c>
      <c r="JLX77" t="s">
        <v>633</v>
      </c>
      <c r="JLY77" t="s">
        <v>229</v>
      </c>
      <c r="JLZ77" t="s">
        <v>633</v>
      </c>
      <c r="JMA77" t="s">
        <v>229</v>
      </c>
      <c r="JMB77" t="s">
        <v>633</v>
      </c>
      <c r="JMC77" t="s">
        <v>229</v>
      </c>
      <c r="JMD77" t="s">
        <v>633</v>
      </c>
      <c r="JME77" t="s">
        <v>229</v>
      </c>
      <c r="JMF77" t="s">
        <v>633</v>
      </c>
      <c r="JMG77" t="s">
        <v>229</v>
      </c>
      <c r="JMH77" t="s">
        <v>633</v>
      </c>
      <c r="JMI77" t="s">
        <v>229</v>
      </c>
      <c r="JMJ77" t="s">
        <v>633</v>
      </c>
      <c r="JMK77" t="s">
        <v>229</v>
      </c>
      <c r="JML77" t="s">
        <v>633</v>
      </c>
      <c r="JMM77" t="s">
        <v>229</v>
      </c>
      <c r="JMN77" t="s">
        <v>633</v>
      </c>
      <c r="JMO77" t="s">
        <v>229</v>
      </c>
      <c r="JMP77" t="s">
        <v>633</v>
      </c>
      <c r="JMQ77" t="s">
        <v>229</v>
      </c>
      <c r="JMR77" t="s">
        <v>633</v>
      </c>
      <c r="JMS77" t="s">
        <v>229</v>
      </c>
      <c r="JMT77" t="s">
        <v>633</v>
      </c>
      <c r="JMU77" t="s">
        <v>229</v>
      </c>
      <c r="JMV77" t="s">
        <v>633</v>
      </c>
      <c r="JMW77" t="s">
        <v>229</v>
      </c>
      <c r="JMX77" t="s">
        <v>633</v>
      </c>
      <c r="JMY77" t="s">
        <v>229</v>
      </c>
      <c r="JMZ77" t="s">
        <v>633</v>
      </c>
      <c r="JNA77" t="s">
        <v>229</v>
      </c>
      <c r="JNB77" t="s">
        <v>633</v>
      </c>
      <c r="JNC77" t="s">
        <v>229</v>
      </c>
      <c r="JND77" t="s">
        <v>633</v>
      </c>
      <c r="JNE77" t="s">
        <v>229</v>
      </c>
      <c r="JNF77" t="s">
        <v>633</v>
      </c>
      <c r="JNG77" t="s">
        <v>229</v>
      </c>
      <c r="JNH77" t="s">
        <v>633</v>
      </c>
      <c r="JNI77" t="s">
        <v>229</v>
      </c>
      <c r="JNJ77" t="s">
        <v>633</v>
      </c>
      <c r="JNK77" t="s">
        <v>229</v>
      </c>
      <c r="JNL77" t="s">
        <v>633</v>
      </c>
      <c r="JNM77" t="s">
        <v>229</v>
      </c>
      <c r="JNN77" t="s">
        <v>633</v>
      </c>
      <c r="JNO77" t="s">
        <v>229</v>
      </c>
      <c r="JNP77" t="s">
        <v>633</v>
      </c>
      <c r="JNQ77" t="s">
        <v>229</v>
      </c>
      <c r="JNR77" t="s">
        <v>633</v>
      </c>
      <c r="JNS77" t="s">
        <v>229</v>
      </c>
      <c r="JNT77" t="s">
        <v>633</v>
      </c>
      <c r="JNU77" t="s">
        <v>229</v>
      </c>
      <c r="JNV77" t="s">
        <v>633</v>
      </c>
      <c r="JNW77" t="s">
        <v>229</v>
      </c>
      <c r="JNX77" t="s">
        <v>633</v>
      </c>
      <c r="JNY77" t="s">
        <v>229</v>
      </c>
      <c r="JNZ77" t="s">
        <v>633</v>
      </c>
      <c r="JOA77" t="s">
        <v>229</v>
      </c>
      <c r="JOB77" t="s">
        <v>633</v>
      </c>
      <c r="JOC77" t="s">
        <v>229</v>
      </c>
      <c r="JOD77" t="s">
        <v>633</v>
      </c>
      <c r="JOE77" t="s">
        <v>229</v>
      </c>
      <c r="JOF77" t="s">
        <v>633</v>
      </c>
      <c r="JOG77" t="s">
        <v>229</v>
      </c>
      <c r="JOH77" t="s">
        <v>633</v>
      </c>
      <c r="JOI77" t="s">
        <v>229</v>
      </c>
      <c r="JOJ77" t="s">
        <v>633</v>
      </c>
      <c r="JOK77" t="s">
        <v>229</v>
      </c>
      <c r="JOL77" t="s">
        <v>633</v>
      </c>
      <c r="JOM77" t="s">
        <v>229</v>
      </c>
      <c r="JON77" t="s">
        <v>633</v>
      </c>
      <c r="JOO77" t="s">
        <v>229</v>
      </c>
      <c r="JOP77" t="s">
        <v>633</v>
      </c>
      <c r="JOQ77" t="s">
        <v>229</v>
      </c>
      <c r="JOR77" t="s">
        <v>633</v>
      </c>
      <c r="JOS77" t="s">
        <v>229</v>
      </c>
      <c r="JOT77" t="s">
        <v>633</v>
      </c>
      <c r="JOU77" t="s">
        <v>229</v>
      </c>
      <c r="JOV77" t="s">
        <v>633</v>
      </c>
      <c r="JOW77" t="s">
        <v>229</v>
      </c>
      <c r="JOX77" t="s">
        <v>633</v>
      </c>
      <c r="JOY77" t="s">
        <v>229</v>
      </c>
      <c r="JOZ77" t="s">
        <v>633</v>
      </c>
      <c r="JPA77" t="s">
        <v>229</v>
      </c>
      <c r="JPB77" t="s">
        <v>633</v>
      </c>
      <c r="JPC77" t="s">
        <v>229</v>
      </c>
      <c r="JPD77" t="s">
        <v>633</v>
      </c>
      <c r="JPE77" t="s">
        <v>229</v>
      </c>
      <c r="JPF77" t="s">
        <v>633</v>
      </c>
      <c r="JPG77" t="s">
        <v>229</v>
      </c>
      <c r="JPH77" t="s">
        <v>633</v>
      </c>
      <c r="JPI77" t="s">
        <v>229</v>
      </c>
      <c r="JPJ77" t="s">
        <v>633</v>
      </c>
      <c r="JPK77" t="s">
        <v>229</v>
      </c>
      <c r="JPL77" t="s">
        <v>633</v>
      </c>
      <c r="JPM77" t="s">
        <v>229</v>
      </c>
      <c r="JPN77" t="s">
        <v>633</v>
      </c>
      <c r="JPO77" t="s">
        <v>229</v>
      </c>
      <c r="JPP77" t="s">
        <v>633</v>
      </c>
      <c r="JPQ77" t="s">
        <v>229</v>
      </c>
      <c r="JPR77" t="s">
        <v>633</v>
      </c>
      <c r="JPS77" t="s">
        <v>229</v>
      </c>
      <c r="JPT77" t="s">
        <v>633</v>
      </c>
      <c r="JPU77" t="s">
        <v>229</v>
      </c>
      <c r="JPV77" t="s">
        <v>633</v>
      </c>
      <c r="JPW77" t="s">
        <v>229</v>
      </c>
      <c r="JPX77" t="s">
        <v>633</v>
      </c>
      <c r="JPY77" t="s">
        <v>229</v>
      </c>
      <c r="JPZ77" t="s">
        <v>633</v>
      </c>
      <c r="JQA77" t="s">
        <v>229</v>
      </c>
      <c r="JQB77" t="s">
        <v>633</v>
      </c>
      <c r="JQC77" t="s">
        <v>229</v>
      </c>
      <c r="JQD77" t="s">
        <v>633</v>
      </c>
      <c r="JQE77" t="s">
        <v>229</v>
      </c>
      <c r="JQF77" t="s">
        <v>633</v>
      </c>
      <c r="JQG77" t="s">
        <v>229</v>
      </c>
      <c r="JQH77" t="s">
        <v>633</v>
      </c>
      <c r="JQI77" t="s">
        <v>229</v>
      </c>
      <c r="JQJ77" t="s">
        <v>633</v>
      </c>
      <c r="JQK77" t="s">
        <v>229</v>
      </c>
      <c r="JQL77" t="s">
        <v>633</v>
      </c>
      <c r="JQM77" t="s">
        <v>229</v>
      </c>
      <c r="JQN77" t="s">
        <v>633</v>
      </c>
      <c r="JQO77" t="s">
        <v>229</v>
      </c>
      <c r="JQP77" t="s">
        <v>633</v>
      </c>
      <c r="JQQ77" t="s">
        <v>229</v>
      </c>
      <c r="JQR77" t="s">
        <v>633</v>
      </c>
      <c r="JQS77" t="s">
        <v>229</v>
      </c>
      <c r="JQT77" t="s">
        <v>633</v>
      </c>
      <c r="JQU77" t="s">
        <v>229</v>
      </c>
      <c r="JQV77" t="s">
        <v>633</v>
      </c>
      <c r="JQW77" t="s">
        <v>229</v>
      </c>
      <c r="JQX77" t="s">
        <v>633</v>
      </c>
      <c r="JQY77" t="s">
        <v>229</v>
      </c>
      <c r="JQZ77" t="s">
        <v>633</v>
      </c>
      <c r="JRA77" t="s">
        <v>229</v>
      </c>
      <c r="JRB77" t="s">
        <v>633</v>
      </c>
      <c r="JRC77" t="s">
        <v>229</v>
      </c>
      <c r="JRD77" t="s">
        <v>633</v>
      </c>
      <c r="JRE77" t="s">
        <v>229</v>
      </c>
      <c r="JRF77" t="s">
        <v>633</v>
      </c>
      <c r="JRG77" t="s">
        <v>229</v>
      </c>
      <c r="JRH77" t="s">
        <v>633</v>
      </c>
      <c r="JRI77" t="s">
        <v>229</v>
      </c>
      <c r="JRJ77" t="s">
        <v>633</v>
      </c>
      <c r="JRK77" t="s">
        <v>229</v>
      </c>
      <c r="JRL77" t="s">
        <v>633</v>
      </c>
      <c r="JRM77" t="s">
        <v>229</v>
      </c>
      <c r="JRN77" t="s">
        <v>633</v>
      </c>
      <c r="JRO77" t="s">
        <v>229</v>
      </c>
      <c r="JRP77" t="s">
        <v>633</v>
      </c>
      <c r="JRQ77" t="s">
        <v>229</v>
      </c>
      <c r="JRR77" t="s">
        <v>633</v>
      </c>
      <c r="JRS77" t="s">
        <v>229</v>
      </c>
      <c r="JRT77" t="s">
        <v>633</v>
      </c>
      <c r="JRU77" t="s">
        <v>229</v>
      </c>
      <c r="JRV77" t="s">
        <v>633</v>
      </c>
      <c r="JRW77" t="s">
        <v>229</v>
      </c>
      <c r="JRX77" t="s">
        <v>633</v>
      </c>
      <c r="JRY77" t="s">
        <v>229</v>
      </c>
      <c r="JRZ77" t="s">
        <v>633</v>
      </c>
      <c r="JSA77" t="s">
        <v>229</v>
      </c>
      <c r="JSB77" t="s">
        <v>633</v>
      </c>
      <c r="JSC77" t="s">
        <v>229</v>
      </c>
      <c r="JSD77" t="s">
        <v>633</v>
      </c>
      <c r="JSE77" t="s">
        <v>229</v>
      </c>
      <c r="JSF77" t="s">
        <v>633</v>
      </c>
      <c r="JSG77" t="s">
        <v>229</v>
      </c>
      <c r="JSH77" t="s">
        <v>633</v>
      </c>
      <c r="JSI77" t="s">
        <v>229</v>
      </c>
      <c r="JSJ77" t="s">
        <v>633</v>
      </c>
      <c r="JSK77" t="s">
        <v>229</v>
      </c>
      <c r="JSL77" t="s">
        <v>633</v>
      </c>
      <c r="JSM77" t="s">
        <v>229</v>
      </c>
      <c r="JSN77" t="s">
        <v>633</v>
      </c>
      <c r="JSO77" t="s">
        <v>229</v>
      </c>
      <c r="JSP77" t="s">
        <v>633</v>
      </c>
      <c r="JSQ77" t="s">
        <v>229</v>
      </c>
      <c r="JSR77" t="s">
        <v>633</v>
      </c>
      <c r="JSS77" t="s">
        <v>229</v>
      </c>
      <c r="JST77" t="s">
        <v>633</v>
      </c>
      <c r="JSU77" t="s">
        <v>229</v>
      </c>
      <c r="JSV77" t="s">
        <v>633</v>
      </c>
      <c r="JSW77" t="s">
        <v>229</v>
      </c>
      <c r="JSX77" t="s">
        <v>633</v>
      </c>
      <c r="JSY77" t="s">
        <v>229</v>
      </c>
      <c r="JSZ77" t="s">
        <v>633</v>
      </c>
      <c r="JTA77" t="s">
        <v>229</v>
      </c>
      <c r="JTB77" t="s">
        <v>633</v>
      </c>
      <c r="JTC77" t="s">
        <v>229</v>
      </c>
      <c r="JTD77" t="s">
        <v>633</v>
      </c>
      <c r="JTE77" t="s">
        <v>229</v>
      </c>
      <c r="JTF77" t="s">
        <v>633</v>
      </c>
      <c r="JTG77" t="s">
        <v>229</v>
      </c>
      <c r="JTH77" t="s">
        <v>633</v>
      </c>
      <c r="JTI77" t="s">
        <v>229</v>
      </c>
      <c r="JTJ77" t="s">
        <v>633</v>
      </c>
      <c r="JTK77" t="s">
        <v>229</v>
      </c>
      <c r="JTL77" t="s">
        <v>633</v>
      </c>
      <c r="JTM77" t="s">
        <v>229</v>
      </c>
      <c r="JTN77" t="s">
        <v>633</v>
      </c>
      <c r="JTO77" t="s">
        <v>229</v>
      </c>
      <c r="JTP77" t="s">
        <v>633</v>
      </c>
      <c r="JTQ77" t="s">
        <v>229</v>
      </c>
      <c r="JTR77" t="s">
        <v>633</v>
      </c>
      <c r="JTS77" t="s">
        <v>229</v>
      </c>
      <c r="JTT77" t="s">
        <v>633</v>
      </c>
      <c r="JTU77" t="s">
        <v>229</v>
      </c>
      <c r="JTV77" t="s">
        <v>633</v>
      </c>
      <c r="JTW77" t="s">
        <v>229</v>
      </c>
      <c r="JTX77" t="s">
        <v>633</v>
      </c>
      <c r="JTY77" t="s">
        <v>229</v>
      </c>
      <c r="JTZ77" t="s">
        <v>633</v>
      </c>
      <c r="JUA77" t="s">
        <v>229</v>
      </c>
      <c r="JUB77" t="s">
        <v>633</v>
      </c>
      <c r="JUC77" t="s">
        <v>229</v>
      </c>
      <c r="JUD77" t="s">
        <v>633</v>
      </c>
      <c r="JUE77" t="s">
        <v>229</v>
      </c>
      <c r="JUF77" t="s">
        <v>633</v>
      </c>
      <c r="JUG77" t="s">
        <v>229</v>
      </c>
      <c r="JUH77" t="s">
        <v>633</v>
      </c>
      <c r="JUI77" t="s">
        <v>229</v>
      </c>
      <c r="JUJ77" t="s">
        <v>633</v>
      </c>
      <c r="JUK77" t="s">
        <v>229</v>
      </c>
      <c r="JUL77" t="s">
        <v>633</v>
      </c>
      <c r="JUM77" t="s">
        <v>229</v>
      </c>
      <c r="JUN77" t="s">
        <v>633</v>
      </c>
      <c r="JUO77" t="s">
        <v>229</v>
      </c>
      <c r="JUP77" t="s">
        <v>633</v>
      </c>
      <c r="JUQ77" t="s">
        <v>229</v>
      </c>
      <c r="JUR77" t="s">
        <v>633</v>
      </c>
      <c r="JUS77" t="s">
        <v>229</v>
      </c>
      <c r="JUT77" t="s">
        <v>633</v>
      </c>
      <c r="JUU77" t="s">
        <v>229</v>
      </c>
      <c r="JUV77" t="s">
        <v>633</v>
      </c>
      <c r="JUW77" t="s">
        <v>229</v>
      </c>
      <c r="JUX77" t="s">
        <v>633</v>
      </c>
      <c r="JUY77" t="s">
        <v>229</v>
      </c>
      <c r="JUZ77" t="s">
        <v>633</v>
      </c>
      <c r="JVA77" t="s">
        <v>229</v>
      </c>
      <c r="JVB77" t="s">
        <v>633</v>
      </c>
      <c r="JVC77" t="s">
        <v>229</v>
      </c>
      <c r="JVD77" t="s">
        <v>633</v>
      </c>
      <c r="JVE77" t="s">
        <v>229</v>
      </c>
      <c r="JVF77" t="s">
        <v>633</v>
      </c>
      <c r="JVG77" t="s">
        <v>229</v>
      </c>
      <c r="JVH77" t="s">
        <v>633</v>
      </c>
      <c r="JVI77" t="s">
        <v>229</v>
      </c>
      <c r="JVJ77" t="s">
        <v>633</v>
      </c>
      <c r="JVK77" t="s">
        <v>229</v>
      </c>
      <c r="JVL77" t="s">
        <v>633</v>
      </c>
      <c r="JVM77" t="s">
        <v>229</v>
      </c>
      <c r="JVN77" t="s">
        <v>633</v>
      </c>
      <c r="JVO77" t="s">
        <v>229</v>
      </c>
      <c r="JVP77" t="s">
        <v>633</v>
      </c>
      <c r="JVQ77" t="s">
        <v>229</v>
      </c>
      <c r="JVR77" t="s">
        <v>633</v>
      </c>
      <c r="JVS77" t="s">
        <v>229</v>
      </c>
      <c r="JVT77" t="s">
        <v>633</v>
      </c>
      <c r="JVU77" t="s">
        <v>229</v>
      </c>
      <c r="JVV77" t="s">
        <v>633</v>
      </c>
      <c r="JVW77" t="s">
        <v>229</v>
      </c>
      <c r="JVX77" t="s">
        <v>633</v>
      </c>
      <c r="JVY77" t="s">
        <v>229</v>
      </c>
      <c r="JVZ77" t="s">
        <v>633</v>
      </c>
      <c r="JWA77" t="s">
        <v>229</v>
      </c>
      <c r="JWB77" t="s">
        <v>633</v>
      </c>
      <c r="JWC77" t="s">
        <v>229</v>
      </c>
      <c r="JWD77" t="s">
        <v>633</v>
      </c>
      <c r="JWE77" t="s">
        <v>229</v>
      </c>
      <c r="JWF77" t="s">
        <v>633</v>
      </c>
      <c r="JWG77" t="s">
        <v>229</v>
      </c>
      <c r="JWH77" t="s">
        <v>633</v>
      </c>
      <c r="JWI77" t="s">
        <v>229</v>
      </c>
      <c r="JWJ77" t="s">
        <v>633</v>
      </c>
      <c r="JWK77" t="s">
        <v>229</v>
      </c>
      <c r="JWL77" t="s">
        <v>633</v>
      </c>
      <c r="JWM77" t="s">
        <v>229</v>
      </c>
      <c r="JWN77" t="s">
        <v>633</v>
      </c>
      <c r="JWO77" t="s">
        <v>229</v>
      </c>
      <c r="JWP77" t="s">
        <v>633</v>
      </c>
      <c r="JWQ77" t="s">
        <v>229</v>
      </c>
      <c r="JWR77" t="s">
        <v>633</v>
      </c>
      <c r="JWS77" t="s">
        <v>229</v>
      </c>
      <c r="JWT77" t="s">
        <v>633</v>
      </c>
      <c r="JWU77" t="s">
        <v>229</v>
      </c>
      <c r="JWV77" t="s">
        <v>633</v>
      </c>
      <c r="JWW77" t="s">
        <v>229</v>
      </c>
      <c r="JWX77" t="s">
        <v>633</v>
      </c>
      <c r="JWY77" t="s">
        <v>229</v>
      </c>
      <c r="JWZ77" t="s">
        <v>633</v>
      </c>
      <c r="JXA77" t="s">
        <v>229</v>
      </c>
      <c r="JXB77" t="s">
        <v>633</v>
      </c>
      <c r="JXC77" t="s">
        <v>229</v>
      </c>
      <c r="JXD77" t="s">
        <v>633</v>
      </c>
      <c r="JXE77" t="s">
        <v>229</v>
      </c>
      <c r="JXF77" t="s">
        <v>633</v>
      </c>
      <c r="JXG77" t="s">
        <v>229</v>
      </c>
      <c r="JXH77" t="s">
        <v>633</v>
      </c>
      <c r="JXI77" t="s">
        <v>229</v>
      </c>
      <c r="JXJ77" t="s">
        <v>633</v>
      </c>
      <c r="JXK77" t="s">
        <v>229</v>
      </c>
      <c r="JXL77" t="s">
        <v>633</v>
      </c>
      <c r="JXM77" t="s">
        <v>229</v>
      </c>
      <c r="JXN77" t="s">
        <v>633</v>
      </c>
      <c r="JXO77" t="s">
        <v>229</v>
      </c>
      <c r="JXP77" t="s">
        <v>633</v>
      </c>
      <c r="JXQ77" t="s">
        <v>229</v>
      </c>
      <c r="JXR77" t="s">
        <v>633</v>
      </c>
      <c r="JXS77" t="s">
        <v>229</v>
      </c>
      <c r="JXT77" t="s">
        <v>633</v>
      </c>
      <c r="JXU77" t="s">
        <v>229</v>
      </c>
      <c r="JXV77" t="s">
        <v>633</v>
      </c>
      <c r="JXW77" t="s">
        <v>229</v>
      </c>
      <c r="JXX77" t="s">
        <v>633</v>
      </c>
      <c r="JXY77" t="s">
        <v>229</v>
      </c>
      <c r="JXZ77" t="s">
        <v>633</v>
      </c>
      <c r="JYA77" t="s">
        <v>229</v>
      </c>
      <c r="JYB77" t="s">
        <v>633</v>
      </c>
      <c r="JYC77" t="s">
        <v>229</v>
      </c>
      <c r="JYD77" t="s">
        <v>633</v>
      </c>
      <c r="JYE77" t="s">
        <v>229</v>
      </c>
      <c r="JYF77" t="s">
        <v>633</v>
      </c>
      <c r="JYG77" t="s">
        <v>229</v>
      </c>
      <c r="JYH77" t="s">
        <v>633</v>
      </c>
      <c r="JYI77" t="s">
        <v>229</v>
      </c>
      <c r="JYJ77" t="s">
        <v>633</v>
      </c>
      <c r="JYK77" t="s">
        <v>229</v>
      </c>
      <c r="JYL77" t="s">
        <v>633</v>
      </c>
      <c r="JYM77" t="s">
        <v>229</v>
      </c>
      <c r="JYN77" t="s">
        <v>633</v>
      </c>
      <c r="JYO77" t="s">
        <v>229</v>
      </c>
      <c r="JYP77" t="s">
        <v>633</v>
      </c>
      <c r="JYQ77" t="s">
        <v>229</v>
      </c>
      <c r="JYR77" t="s">
        <v>633</v>
      </c>
      <c r="JYS77" t="s">
        <v>229</v>
      </c>
      <c r="JYT77" t="s">
        <v>633</v>
      </c>
      <c r="JYU77" t="s">
        <v>229</v>
      </c>
      <c r="JYV77" t="s">
        <v>633</v>
      </c>
      <c r="JYW77" t="s">
        <v>229</v>
      </c>
      <c r="JYX77" t="s">
        <v>633</v>
      </c>
      <c r="JYY77" t="s">
        <v>229</v>
      </c>
      <c r="JYZ77" t="s">
        <v>633</v>
      </c>
      <c r="JZA77" t="s">
        <v>229</v>
      </c>
      <c r="JZB77" t="s">
        <v>633</v>
      </c>
      <c r="JZC77" t="s">
        <v>229</v>
      </c>
      <c r="JZD77" t="s">
        <v>633</v>
      </c>
      <c r="JZE77" t="s">
        <v>229</v>
      </c>
      <c r="JZF77" t="s">
        <v>633</v>
      </c>
      <c r="JZG77" t="s">
        <v>229</v>
      </c>
      <c r="JZH77" t="s">
        <v>633</v>
      </c>
      <c r="JZI77" t="s">
        <v>229</v>
      </c>
      <c r="JZJ77" t="s">
        <v>633</v>
      </c>
      <c r="JZK77" t="s">
        <v>229</v>
      </c>
      <c r="JZL77" t="s">
        <v>633</v>
      </c>
      <c r="JZM77" t="s">
        <v>229</v>
      </c>
      <c r="JZN77" t="s">
        <v>633</v>
      </c>
      <c r="JZO77" t="s">
        <v>229</v>
      </c>
      <c r="JZP77" t="s">
        <v>633</v>
      </c>
      <c r="JZQ77" t="s">
        <v>229</v>
      </c>
      <c r="JZR77" t="s">
        <v>633</v>
      </c>
      <c r="JZS77" t="s">
        <v>229</v>
      </c>
      <c r="JZT77" t="s">
        <v>633</v>
      </c>
      <c r="JZU77" t="s">
        <v>229</v>
      </c>
      <c r="JZV77" t="s">
        <v>633</v>
      </c>
      <c r="JZW77" t="s">
        <v>229</v>
      </c>
      <c r="JZX77" t="s">
        <v>633</v>
      </c>
      <c r="JZY77" t="s">
        <v>229</v>
      </c>
      <c r="JZZ77" t="s">
        <v>633</v>
      </c>
      <c r="KAA77" t="s">
        <v>229</v>
      </c>
      <c r="KAB77" t="s">
        <v>633</v>
      </c>
      <c r="KAC77" t="s">
        <v>229</v>
      </c>
      <c r="KAD77" t="s">
        <v>633</v>
      </c>
      <c r="KAE77" t="s">
        <v>229</v>
      </c>
      <c r="KAF77" t="s">
        <v>633</v>
      </c>
      <c r="KAG77" t="s">
        <v>229</v>
      </c>
      <c r="KAH77" t="s">
        <v>633</v>
      </c>
      <c r="KAI77" t="s">
        <v>229</v>
      </c>
      <c r="KAJ77" t="s">
        <v>633</v>
      </c>
      <c r="KAK77" t="s">
        <v>229</v>
      </c>
      <c r="KAL77" t="s">
        <v>633</v>
      </c>
      <c r="KAM77" t="s">
        <v>229</v>
      </c>
      <c r="KAN77" t="s">
        <v>633</v>
      </c>
      <c r="KAO77" t="s">
        <v>229</v>
      </c>
      <c r="KAP77" t="s">
        <v>633</v>
      </c>
      <c r="KAQ77" t="s">
        <v>229</v>
      </c>
      <c r="KAR77" t="s">
        <v>633</v>
      </c>
      <c r="KAS77" t="s">
        <v>229</v>
      </c>
      <c r="KAT77" t="s">
        <v>633</v>
      </c>
      <c r="KAU77" t="s">
        <v>229</v>
      </c>
      <c r="KAV77" t="s">
        <v>633</v>
      </c>
      <c r="KAW77" t="s">
        <v>229</v>
      </c>
      <c r="KAX77" t="s">
        <v>633</v>
      </c>
      <c r="KAY77" t="s">
        <v>229</v>
      </c>
      <c r="KAZ77" t="s">
        <v>633</v>
      </c>
      <c r="KBA77" t="s">
        <v>229</v>
      </c>
      <c r="KBB77" t="s">
        <v>633</v>
      </c>
      <c r="KBC77" t="s">
        <v>229</v>
      </c>
      <c r="KBD77" t="s">
        <v>633</v>
      </c>
      <c r="KBE77" t="s">
        <v>229</v>
      </c>
      <c r="KBF77" t="s">
        <v>633</v>
      </c>
      <c r="KBG77" t="s">
        <v>229</v>
      </c>
      <c r="KBH77" t="s">
        <v>633</v>
      </c>
      <c r="KBI77" t="s">
        <v>229</v>
      </c>
      <c r="KBJ77" t="s">
        <v>633</v>
      </c>
      <c r="KBK77" t="s">
        <v>229</v>
      </c>
      <c r="KBL77" t="s">
        <v>633</v>
      </c>
      <c r="KBM77" t="s">
        <v>229</v>
      </c>
      <c r="KBN77" t="s">
        <v>633</v>
      </c>
      <c r="KBO77" t="s">
        <v>229</v>
      </c>
      <c r="KBP77" t="s">
        <v>633</v>
      </c>
      <c r="KBQ77" t="s">
        <v>229</v>
      </c>
      <c r="KBR77" t="s">
        <v>633</v>
      </c>
      <c r="KBS77" t="s">
        <v>229</v>
      </c>
      <c r="KBT77" t="s">
        <v>633</v>
      </c>
      <c r="KBU77" t="s">
        <v>229</v>
      </c>
      <c r="KBV77" t="s">
        <v>633</v>
      </c>
      <c r="KBW77" t="s">
        <v>229</v>
      </c>
      <c r="KBX77" t="s">
        <v>633</v>
      </c>
      <c r="KBY77" t="s">
        <v>229</v>
      </c>
      <c r="KBZ77" t="s">
        <v>633</v>
      </c>
      <c r="KCA77" t="s">
        <v>229</v>
      </c>
      <c r="KCB77" t="s">
        <v>633</v>
      </c>
      <c r="KCC77" t="s">
        <v>229</v>
      </c>
      <c r="KCD77" t="s">
        <v>633</v>
      </c>
      <c r="KCE77" t="s">
        <v>229</v>
      </c>
      <c r="KCF77" t="s">
        <v>633</v>
      </c>
      <c r="KCG77" t="s">
        <v>229</v>
      </c>
      <c r="KCH77" t="s">
        <v>633</v>
      </c>
      <c r="KCI77" t="s">
        <v>229</v>
      </c>
      <c r="KCJ77" t="s">
        <v>633</v>
      </c>
      <c r="KCK77" t="s">
        <v>229</v>
      </c>
      <c r="KCL77" t="s">
        <v>633</v>
      </c>
      <c r="KCM77" t="s">
        <v>229</v>
      </c>
      <c r="KCN77" t="s">
        <v>633</v>
      </c>
      <c r="KCO77" t="s">
        <v>229</v>
      </c>
      <c r="KCP77" t="s">
        <v>633</v>
      </c>
      <c r="KCQ77" t="s">
        <v>229</v>
      </c>
      <c r="KCR77" t="s">
        <v>633</v>
      </c>
      <c r="KCS77" t="s">
        <v>229</v>
      </c>
      <c r="KCT77" t="s">
        <v>633</v>
      </c>
      <c r="KCU77" t="s">
        <v>229</v>
      </c>
      <c r="KCV77" t="s">
        <v>633</v>
      </c>
      <c r="KCW77" t="s">
        <v>229</v>
      </c>
      <c r="KCX77" t="s">
        <v>633</v>
      </c>
      <c r="KCY77" t="s">
        <v>229</v>
      </c>
      <c r="KCZ77" t="s">
        <v>633</v>
      </c>
      <c r="KDA77" t="s">
        <v>229</v>
      </c>
      <c r="KDB77" t="s">
        <v>633</v>
      </c>
      <c r="KDC77" t="s">
        <v>229</v>
      </c>
      <c r="KDD77" t="s">
        <v>633</v>
      </c>
      <c r="KDE77" t="s">
        <v>229</v>
      </c>
      <c r="KDF77" t="s">
        <v>633</v>
      </c>
      <c r="KDG77" t="s">
        <v>229</v>
      </c>
      <c r="KDH77" t="s">
        <v>633</v>
      </c>
      <c r="KDI77" t="s">
        <v>229</v>
      </c>
      <c r="KDJ77" t="s">
        <v>633</v>
      </c>
      <c r="KDK77" t="s">
        <v>229</v>
      </c>
      <c r="KDL77" t="s">
        <v>633</v>
      </c>
      <c r="KDM77" t="s">
        <v>229</v>
      </c>
      <c r="KDN77" t="s">
        <v>633</v>
      </c>
      <c r="KDO77" t="s">
        <v>229</v>
      </c>
      <c r="KDP77" t="s">
        <v>633</v>
      </c>
      <c r="KDQ77" t="s">
        <v>229</v>
      </c>
      <c r="KDR77" t="s">
        <v>633</v>
      </c>
      <c r="KDS77" t="s">
        <v>229</v>
      </c>
      <c r="KDT77" t="s">
        <v>633</v>
      </c>
      <c r="KDU77" t="s">
        <v>229</v>
      </c>
      <c r="KDV77" t="s">
        <v>633</v>
      </c>
      <c r="KDW77" t="s">
        <v>229</v>
      </c>
      <c r="KDX77" t="s">
        <v>633</v>
      </c>
      <c r="KDY77" t="s">
        <v>229</v>
      </c>
      <c r="KDZ77" t="s">
        <v>633</v>
      </c>
      <c r="KEA77" t="s">
        <v>229</v>
      </c>
      <c r="KEB77" t="s">
        <v>633</v>
      </c>
      <c r="KEC77" t="s">
        <v>229</v>
      </c>
      <c r="KED77" t="s">
        <v>633</v>
      </c>
      <c r="KEE77" t="s">
        <v>229</v>
      </c>
      <c r="KEF77" t="s">
        <v>633</v>
      </c>
      <c r="KEG77" t="s">
        <v>229</v>
      </c>
      <c r="KEH77" t="s">
        <v>633</v>
      </c>
      <c r="KEI77" t="s">
        <v>229</v>
      </c>
      <c r="KEJ77" t="s">
        <v>633</v>
      </c>
      <c r="KEK77" t="s">
        <v>229</v>
      </c>
      <c r="KEL77" t="s">
        <v>633</v>
      </c>
      <c r="KEM77" t="s">
        <v>229</v>
      </c>
      <c r="KEN77" t="s">
        <v>633</v>
      </c>
      <c r="KEO77" t="s">
        <v>229</v>
      </c>
      <c r="KEP77" t="s">
        <v>633</v>
      </c>
      <c r="KEQ77" t="s">
        <v>229</v>
      </c>
      <c r="KER77" t="s">
        <v>633</v>
      </c>
      <c r="KES77" t="s">
        <v>229</v>
      </c>
      <c r="KET77" t="s">
        <v>633</v>
      </c>
      <c r="KEU77" t="s">
        <v>229</v>
      </c>
      <c r="KEV77" t="s">
        <v>633</v>
      </c>
      <c r="KEW77" t="s">
        <v>229</v>
      </c>
      <c r="KEX77" t="s">
        <v>633</v>
      </c>
      <c r="KEY77" t="s">
        <v>229</v>
      </c>
      <c r="KEZ77" t="s">
        <v>633</v>
      </c>
      <c r="KFA77" t="s">
        <v>229</v>
      </c>
      <c r="KFB77" t="s">
        <v>633</v>
      </c>
      <c r="KFC77" t="s">
        <v>229</v>
      </c>
      <c r="KFD77" t="s">
        <v>633</v>
      </c>
      <c r="KFE77" t="s">
        <v>229</v>
      </c>
      <c r="KFF77" t="s">
        <v>633</v>
      </c>
      <c r="KFG77" t="s">
        <v>229</v>
      </c>
      <c r="KFH77" t="s">
        <v>633</v>
      </c>
      <c r="KFI77" t="s">
        <v>229</v>
      </c>
      <c r="KFJ77" t="s">
        <v>633</v>
      </c>
      <c r="KFK77" t="s">
        <v>229</v>
      </c>
      <c r="KFL77" t="s">
        <v>633</v>
      </c>
      <c r="KFM77" t="s">
        <v>229</v>
      </c>
      <c r="KFN77" t="s">
        <v>633</v>
      </c>
      <c r="KFO77" t="s">
        <v>229</v>
      </c>
      <c r="KFP77" t="s">
        <v>633</v>
      </c>
      <c r="KFQ77" t="s">
        <v>229</v>
      </c>
      <c r="KFR77" t="s">
        <v>633</v>
      </c>
      <c r="KFS77" t="s">
        <v>229</v>
      </c>
      <c r="KFT77" t="s">
        <v>633</v>
      </c>
      <c r="KFU77" t="s">
        <v>229</v>
      </c>
      <c r="KFV77" t="s">
        <v>633</v>
      </c>
      <c r="KFW77" t="s">
        <v>229</v>
      </c>
      <c r="KFX77" t="s">
        <v>633</v>
      </c>
      <c r="KFY77" t="s">
        <v>229</v>
      </c>
      <c r="KFZ77" t="s">
        <v>633</v>
      </c>
      <c r="KGA77" t="s">
        <v>229</v>
      </c>
      <c r="KGB77" t="s">
        <v>633</v>
      </c>
      <c r="KGC77" t="s">
        <v>229</v>
      </c>
      <c r="KGD77" t="s">
        <v>633</v>
      </c>
      <c r="KGE77" t="s">
        <v>229</v>
      </c>
      <c r="KGF77" t="s">
        <v>633</v>
      </c>
      <c r="KGG77" t="s">
        <v>229</v>
      </c>
      <c r="KGH77" t="s">
        <v>633</v>
      </c>
      <c r="KGI77" t="s">
        <v>229</v>
      </c>
      <c r="KGJ77" t="s">
        <v>633</v>
      </c>
      <c r="KGK77" t="s">
        <v>229</v>
      </c>
      <c r="KGL77" t="s">
        <v>633</v>
      </c>
      <c r="KGM77" t="s">
        <v>229</v>
      </c>
      <c r="KGN77" t="s">
        <v>633</v>
      </c>
      <c r="KGO77" t="s">
        <v>229</v>
      </c>
      <c r="KGP77" t="s">
        <v>633</v>
      </c>
      <c r="KGQ77" t="s">
        <v>229</v>
      </c>
      <c r="KGR77" t="s">
        <v>633</v>
      </c>
      <c r="KGS77" t="s">
        <v>229</v>
      </c>
      <c r="KGT77" t="s">
        <v>633</v>
      </c>
      <c r="KGU77" t="s">
        <v>229</v>
      </c>
      <c r="KGV77" t="s">
        <v>633</v>
      </c>
      <c r="KGW77" t="s">
        <v>229</v>
      </c>
      <c r="KGX77" t="s">
        <v>633</v>
      </c>
      <c r="KGY77" t="s">
        <v>229</v>
      </c>
      <c r="KGZ77" t="s">
        <v>633</v>
      </c>
      <c r="KHA77" t="s">
        <v>229</v>
      </c>
      <c r="KHB77" t="s">
        <v>633</v>
      </c>
      <c r="KHC77" t="s">
        <v>229</v>
      </c>
      <c r="KHD77" t="s">
        <v>633</v>
      </c>
      <c r="KHE77" t="s">
        <v>229</v>
      </c>
      <c r="KHF77" t="s">
        <v>633</v>
      </c>
      <c r="KHG77" t="s">
        <v>229</v>
      </c>
      <c r="KHH77" t="s">
        <v>633</v>
      </c>
      <c r="KHI77" t="s">
        <v>229</v>
      </c>
      <c r="KHJ77" t="s">
        <v>633</v>
      </c>
      <c r="KHK77" t="s">
        <v>229</v>
      </c>
      <c r="KHL77" t="s">
        <v>633</v>
      </c>
      <c r="KHM77" t="s">
        <v>229</v>
      </c>
      <c r="KHN77" t="s">
        <v>633</v>
      </c>
      <c r="KHO77" t="s">
        <v>229</v>
      </c>
      <c r="KHP77" t="s">
        <v>633</v>
      </c>
      <c r="KHQ77" t="s">
        <v>229</v>
      </c>
      <c r="KHR77" t="s">
        <v>633</v>
      </c>
      <c r="KHS77" t="s">
        <v>229</v>
      </c>
      <c r="KHT77" t="s">
        <v>633</v>
      </c>
      <c r="KHU77" t="s">
        <v>229</v>
      </c>
      <c r="KHV77" t="s">
        <v>633</v>
      </c>
      <c r="KHW77" t="s">
        <v>229</v>
      </c>
      <c r="KHX77" t="s">
        <v>633</v>
      </c>
      <c r="KHY77" t="s">
        <v>229</v>
      </c>
      <c r="KHZ77" t="s">
        <v>633</v>
      </c>
      <c r="KIA77" t="s">
        <v>229</v>
      </c>
      <c r="KIB77" t="s">
        <v>633</v>
      </c>
      <c r="KIC77" t="s">
        <v>229</v>
      </c>
      <c r="KID77" t="s">
        <v>633</v>
      </c>
      <c r="KIE77" t="s">
        <v>229</v>
      </c>
      <c r="KIF77" t="s">
        <v>633</v>
      </c>
      <c r="KIG77" t="s">
        <v>229</v>
      </c>
      <c r="KIH77" t="s">
        <v>633</v>
      </c>
      <c r="KII77" t="s">
        <v>229</v>
      </c>
      <c r="KIJ77" t="s">
        <v>633</v>
      </c>
      <c r="KIK77" t="s">
        <v>229</v>
      </c>
      <c r="KIL77" t="s">
        <v>633</v>
      </c>
      <c r="KIM77" t="s">
        <v>229</v>
      </c>
      <c r="KIN77" t="s">
        <v>633</v>
      </c>
      <c r="KIO77" t="s">
        <v>229</v>
      </c>
      <c r="KIP77" t="s">
        <v>633</v>
      </c>
      <c r="KIQ77" t="s">
        <v>229</v>
      </c>
      <c r="KIR77" t="s">
        <v>633</v>
      </c>
      <c r="KIS77" t="s">
        <v>229</v>
      </c>
      <c r="KIT77" t="s">
        <v>633</v>
      </c>
      <c r="KIU77" t="s">
        <v>229</v>
      </c>
      <c r="KIV77" t="s">
        <v>633</v>
      </c>
      <c r="KIW77" t="s">
        <v>229</v>
      </c>
      <c r="KIX77" t="s">
        <v>633</v>
      </c>
      <c r="KIY77" t="s">
        <v>229</v>
      </c>
      <c r="KIZ77" t="s">
        <v>633</v>
      </c>
      <c r="KJA77" t="s">
        <v>229</v>
      </c>
      <c r="KJB77" t="s">
        <v>633</v>
      </c>
      <c r="KJC77" t="s">
        <v>229</v>
      </c>
      <c r="KJD77" t="s">
        <v>633</v>
      </c>
      <c r="KJE77" t="s">
        <v>229</v>
      </c>
      <c r="KJF77" t="s">
        <v>633</v>
      </c>
      <c r="KJG77" t="s">
        <v>229</v>
      </c>
      <c r="KJH77" t="s">
        <v>633</v>
      </c>
      <c r="KJI77" t="s">
        <v>229</v>
      </c>
      <c r="KJJ77" t="s">
        <v>633</v>
      </c>
      <c r="KJK77" t="s">
        <v>229</v>
      </c>
      <c r="KJL77" t="s">
        <v>633</v>
      </c>
      <c r="KJM77" t="s">
        <v>229</v>
      </c>
      <c r="KJN77" t="s">
        <v>633</v>
      </c>
      <c r="KJO77" t="s">
        <v>229</v>
      </c>
      <c r="KJP77" t="s">
        <v>633</v>
      </c>
      <c r="KJQ77" t="s">
        <v>229</v>
      </c>
      <c r="KJR77" t="s">
        <v>633</v>
      </c>
      <c r="KJS77" t="s">
        <v>229</v>
      </c>
      <c r="KJT77" t="s">
        <v>633</v>
      </c>
      <c r="KJU77" t="s">
        <v>229</v>
      </c>
      <c r="KJV77" t="s">
        <v>633</v>
      </c>
      <c r="KJW77" t="s">
        <v>229</v>
      </c>
      <c r="KJX77" t="s">
        <v>633</v>
      </c>
      <c r="KJY77" t="s">
        <v>229</v>
      </c>
      <c r="KJZ77" t="s">
        <v>633</v>
      </c>
      <c r="KKA77" t="s">
        <v>229</v>
      </c>
      <c r="KKB77" t="s">
        <v>633</v>
      </c>
      <c r="KKC77" t="s">
        <v>229</v>
      </c>
      <c r="KKD77" t="s">
        <v>633</v>
      </c>
      <c r="KKE77" t="s">
        <v>229</v>
      </c>
      <c r="KKF77" t="s">
        <v>633</v>
      </c>
      <c r="KKG77" t="s">
        <v>229</v>
      </c>
      <c r="KKH77" t="s">
        <v>633</v>
      </c>
      <c r="KKI77" t="s">
        <v>229</v>
      </c>
      <c r="KKJ77" t="s">
        <v>633</v>
      </c>
      <c r="KKK77" t="s">
        <v>229</v>
      </c>
      <c r="KKL77" t="s">
        <v>633</v>
      </c>
      <c r="KKM77" t="s">
        <v>229</v>
      </c>
      <c r="KKN77" t="s">
        <v>633</v>
      </c>
      <c r="KKO77" t="s">
        <v>229</v>
      </c>
      <c r="KKP77" t="s">
        <v>633</v>
      </c>
      <c r="KKQ77" t="s">
        <v>229</v>
      </c>
      <c r="KKR77" t="s">
        <v>633</v>
      </c>
      <c r="KKS77" t="s">
        <v>229</v>
      </c>
      <c r="KKT77" t="s">
        <v>633</v>
      </c>
      <c r="KKU77" t="s">
        <v>229</v>
      </c>
      <c r="KKV77" t="s">
        <v>633</v>
      </c>
      <c r="KKW77" t="s">
        <v>229</v>
      </c>
      <c r="KKX77" t="s">
        <v>633</v>
      </c>
      <c r="KKY77" t="s">
        <v>229</v>
      </c>
      <c r="KKZ77" t="s">
        <v>633</v>
      </c>
      <c r="KLA77" t="s">
        <v>229</v>
      </c>
      <c r="KLB77" t="s">
        <v>633</v>
      </c>
      <c r="KLC77" t="s">
        <v>229</v>
      </c>
      <c r="KLD77" t="s">
        <v>633</v>
      </c>
      <c r="KLE77" t="s">
        <v>229</v>
      </c>
      <c r="KLF77" t="s">
        <v>633</v>
      </c>
      <c r="KLG77" t="s">
        <v>229</v>
      </c>
      <c r="KLH77" t="s">
        <v>633</v>
      </c>
      <c r="KLI77" t="s">
        <v>229</v>
      </c>
      <c r="KLJ77" t="s">
        <v>633</v>
      </c>
      <c r="KLK77" t="s">
        <v>229</v>
      </c>
      <c r="KLL77" t="s">
        <v>633</v>
      </c>
      <c r="KLM77" t="s">
        <v>229</v>
      </c>
      <c r="KLN77" t="s">
        <v>633</v>
      </c>
      <c r="KLO77" t="s">
        <v>229</v>
      </c>
      <c r="KLP77" t="s">
        <v>633</v>
      </c>
      <c r="KLQ77" t="s">
        <v>229</v>
      </c>
      <c r="KLR77" t="s">
        <v>633</v>
      </c>
      <c r="KLS77" t="s">
        <v>229</v>
      </c>
      <c r="KLT77" t="s">
        <v>633</v>
      </c>
      <c r="KLU77" t="s">
        <v>229</v>
      </c>
      <c r="KLV77" t="s">
        <v>633</v>
      </c>
      <c r="KLW77" t="s">
        <v>229</v>
      </c>
      <c r="KLX77" t="s">
        <v>633</v>
      </c>
      <c r="KLY77" t="s">
        <v>229</v>
      </c>
      <c r="KLZ77" t="s">
        <v>633</v>
      </c>
      <c r="KMA77" t="s">
        <v>229</v>
      </c>
      <c r="KMB77" t="s">
        <v>633</v>
      </c>
      <c r="KMC77" t="s">
        <v>229</v>
      </c>
      <c r="KMD77" t="s">
        <v>633</v>
      </c>
      <c r="KME77" t="s">
        <v>229</v>
      </c>
      <c r="KMF77" t="s">
        <v>633</v>
      </c>
      <c r="KMG77" t="s">
        <v>229</v>
      </c>
      <c r="KMH77" t="s">
        <v>633</v>
      </c>
      <c r="KMI77" t="s">
        <v>229</v>
      </c>
      <c r="KMJ77" t="s">
        <v>633</v>
      </c>
      <c r="KMK77" t="s">
        <v>229</v>
      </c>
      <c r="KML77" t="s">
        <v>633</v>
      </c>
      <c r="KMM77" t="s">
        <v>229</v>
      </c>
      <c r="KMN77" t="s">
        <v>633</v>
      </c>
      <c r="KMO77" t="s">
        <v>229</v>
      </c>
      <c r="KMP77" t="s">
        <v>633</v>
      </c>
      <c r="KMQ77" t="s">
        <v>229</v>
      </c>
      <c r="KMR77" t="s">
        <v>633</v>
      </c>
      <c r="KMS77" t="s">
        <v>229</v>
      </c>
      <c r="KMT77" t="s">
        <v>633</v>
      </c>
      <c r="KMU77" t="s">
        <v>229</v>
      </c>
      <c r="KMV77" t="s">
        <v>633</v>
      </c>
      <c r="KMW77" t="s">
        <v>229</v>
      </c>
      <c r="KMX77" t="s">
        <v>633</v>
      </c>
      <c r="KMY77" t="s">
        <v>229</v>
      </c>
      <c r="KMZ77" t="s">
        <v>633</v>
      </c>
      <c r="KNA77" t="s">
        <v>229</v>
      </c>
      <c r="KNB77" t="s">
        <v>633</v>
      </c>
      <c r="KNC77" t="s">
        <v>229</v>
      </c>
      <c r="KND77" t="s">
        <v>633</v>
      </c>
      <c r="KNE77" t="s">
        <v>229</v>
      </c>
      <c r="KNF77" t="s">
        <v>633</v>
      </c>
      <c r="KNG77" t="s">
        <v>229</v>
      </c>
      <c r="KNH77" t="s">
        <v>633</v>
      </c>
      <c r="KNI77" t="s">
        <v>229</v>
      </c>
      <c r="KNJ77" t="s">
        <v>633</v>
      </c>
      <c r="KNK77" t="s">
        <v>229</v>
      </c>
      <c r="KNL77" t="s">
        <v>633</v>
      </c>
      <c r="KNM77" t="s">
        <v>229</v>
      </c>
      <c r="KNN77" t="s">
        <v>633</v>
      </c>
      <c r="KNO77" t="s">
        <v>229</v>
      </c>
      <c r="KNP77" t="s">
        <v>633</v>
      </c>
      <c r="KNQ77" t="s">
        <v>229</v>
      </c>
      <c r="KNR77" t="s">
        <v>633</v>
      </c>
      <c r="KNS77" t="s">
        <v>229</v>
      </c>
      <c r="KNT77" t="s">
        <v>633</v>
      </c>
      <c r="KNU77" t="s">
        <v>229</v>
      </c>
      <c r="KNV77" t="s">
        <v>633</v>
      </c>
      <c r="KNW77" t="s">
        <v>229</v>
      </c>
      <c r="KNX77" t="s">
        <v>633</v>
      </c>
      <c r="KNY77" t="s">
        <v>229</v>
      </c>
      <c r="KNZ77" t="s">
        <v>633</v>
      </c>
      <c r="KOA77" t="s">
        <v>229</v>
      </c>
      <c r="KOB77" t="s">
        <v>633</v>
      </c>
      <c r="KOC77" t="s">
        <v>229</v>
      </c>
      <c r="KOD77" t="s">
        <v>633</v>
      </c>
      <c r="KOE77" t="s">
        <v>229</v>
      </c>
      <c r="KOF77" t="s">
        <v>633</v>
      </c>
      <c r="KOG77" t="s">
        <v>229</v>
      </c>
      <c r="KOH77" t="s">
        <v>633</v>
      </c>
      <c r="KOI77" t="s">
        <v>229</v>
      </c>
      <c r="KOJ77" t="s">
        <v>633</v>
      </c>
      <c r="KOK77" t="s">
        <v>229</v>
      </c>
      <c r="KOL77" t="s">
        <v>633</v>
      </c>
      <c r="KOM77" t="s">
        <v>229</v>
      </c>
      <c r="KON77" t="s">
        <v>633</v>
      </c>
      <c r="KOO77" t="s">
        <v>229</v>
      </c>
      <c r="KOP77" t="s">
        <v>633</v>
      </c>
      <c r="KOQ77" t="s">
        <v>229</v>
      </c>
      <c r="KOR77" t="s">
        <v>633</v>
      </c>
      <c r="KOS77" t="s">
        <v>229</v>
      </c>
      <c r="KOT77" t="s">
        <v>633</v>
      </c>
      <c r="KOU77" t="s">
        <v>229</v>
      </c>
      <c r="KOV77" t="s">
        <v>633</v>
      </c>
      <c r="KOW77" t="s">
        <v>229</v>
      </c>
      <c r="KOX77" t="s">
        <v>633</v>
      </c>
      <c r="KOY77" t="s">
        <v>229</v>
      </c>
      <c r="KOZ77" t="s">
        <v>633</v>
      </c>
      <c r="KPA77" t="s">
        <v>229</v>
      </c>
      <c r="KPB77" t="s">
        <v>633</v>
      </c>
      <c r="KPC77" t="s">
        <v>229</v>
      </c>
      <c r="KPD77" t="s">
        <v>633</v>
      </c>
      <c r="KPE77" t="s">
        <v>229</v>
      </c>
      <c r="KPF77" t="s">
        <v>633</v>
      </c>
      <c r="KPG77" t="s">
        <v>229</v>
      </c>
      <c r="KPH77" t="s">
        <v>633</v>
      </c>
      <c r="KPI77" t="s">
        <v>229</v>
      </c>
      <c r="KPJ77" t="s">
        <v>633</v>
      </c>
      <c r="KPK77" t="s">
        <v>229</v>
      </c>
      <c r="KPL77" t="s">
        <v>633</v>
      </c>
      <c r="KPM77" t="s">
        <v>229</v>
      </c>
      <c r="KPN77" t="s">
        <v>633</v>
      </c>
      <c r="KPO77" t="s">
        <v>229</v>
      </c>
      <c r="KPP77" t="s">
        <v>633</v>
      </c>
      <c r="KPQ77" t="s">
        <v>229</v>
      </c>
      <c r="KPR77" t="s">
        <v>633</v>
      </c>
      <c r="KPS77" t="s">
        <v>229</v>
      </c>
      <c r="KPT77" t="s">
        <v>633</v>
      </c>
      <c r="KPU77" t="s">
        <v>229</v>
      </c>
      <c r="KPV77" t="s">
        <v>633</v>
      </c>
      <c r="KPW77" t="s">
        <v>229</v>
      </c>
      <c r="KPX77" t="s">
        <v>633</v>
      </c>
      <c r="KPY77" t="s">
        <v>229</v>
      </c>
      <c r="KPZ77" t="s">
        <v>633</v>
      </c>
      <c r="KQA77" t="s">
        <v>229</v>
      </c>
      <c r="KQB77" t="s">
        <v>633</v>
      </c>
      <c r="KQC77" t="s">
        <v>229</v>
      </c>
      <c r="KQD77" t="s">
        <v>633</v>
      </c>
      <c r="KQE77" t="s">
        <v>229</v>
      </c>
      <c r="KQF77" t="s">
        <v>633</v>
      </c>
      <c r="KQG77" t="s">
        <v>229</v>
      </c>
      <c r="KQH77" t="s">
        <v>633</v>
      </c>
      <c r="KQI77" t="s">
        <v>229</v>
      </c>
      <c r="KQJ77" t="s">
        <v>633</v>
      </c>
      <c r="KQK77" t="s">
        <v>229</v>
      </c>
      <c r="KQL77" t="s">
        <v>633</v>
      </c>
      <c r="KQM77" t="s">
        <v>229</v>
      </c>
      <c r="KQN77" t="s">
        <v>633</v>
      </c>
      <c r="KQO77" t="s">
        <v>229</v>
      </c>
      <c r="KQP77" t="s">
        <v>633</v>
      </c>
      <c r="KQQ77" t="s">
        <v>229</v>
      </c>
      <c r="KQR77" t="s">
        <v>633</v>
      </c>
      <c r="KQS77" t="s">
        <v>229</v>
      </c>
      <c r="KQT77" t="s">
        <v>633</v>
      </c>
      <c r="KQU77" t="s">
        <v>229</v>
      </c>
      <c r="KQV77" t="s">
        <v>633</v>
      </c>
      <c r="KQW77" t="s">
        <v>229</v>
      </c>
      <c r="KQX77" t="s">
        <v>633</v>
      </c>
      <c r="KQY77" t="s">
        <v>229</v>
      </c>
      <c r="KQZ77" t="s">
        <v>633</v>
      </c>
      <c r="KRA77" t="s">
        <v>229</v>
      </c>
      <c r="KRB77" t="s">
        <v>633</v>
      </c>
      <c r="KRC77" t="s">
        <v>229</v>
      </c>
      <c r="KRD77" t="s">
        <v>633</v>
      </c>
      <c r="KRE77" t="s">
        <v>229</v>
      </c>
      <c r="KRF77" t="s">
        <v>633</v>
      </c>
      <c r="KRG77" t="s">
        <v>229</v>
      </c>
      <c r="KRH77" t="s">
        <v>633</v>
      </c>
      <c r="KRI77" t="s">
        <v>229</v>
      </c>
      <c r="KRJ77" t="s">
        <v>633</v>
      </c>
      <c r="KRK77" t="s">
        <v>229</v>
      </c>
      <c r="KRL77" t="s">
        <v>633</v>
      </c>
      <c r="KRM77" t="s">
        <v>229</v>
      </c>
      <c r="KRN77" t="s">
        <v>633</v>
      </c>
      <c r="KRO77" t="s">
        <v>229</v>
      </c>
      <c r="KRP77" t="s">
        <v>633</v>
      </c>
      <c r="KRQ77" t="s">
        <v>229</v>
      </c>
      <c r="KRR77" t="s">
        <v>633</v>
      </c>
      <c r="KRS77" t="s">
        <v>229</v>
      </c>
      <c r="KRT77" t="s">
        <v>633</v>
      </c>
      <c r="KRU77" t="s">
        <v>229</v>
      </c>
      <c r="KRV77" t="s">
        <v>633</v>
      </c>
      <c r="KRW77" t="s">
        <v>229</v>
      </c>
      <c r="KRX77" t="s">
        <v>633</v>
      </c>
      <c r="KRY77" t="s">
        <v>229</v>
      </c>
      <c r="KRZ77" t="s">
        <v>633</v>
      </c>
      <c r="KSA77" t="s">
        <v>229</v>
      </c>
      <c r="KSB77" t="s">
        <v>633</v>
      </c>
      <c r="KSC77" t="s">
        <v>229</v>
      </c>
      <c r="KSD77" t="s">
        <v>633</v>
      </c>
      <c r="KSE77" t="s">
        <v>229</v>
      </c>
      <c r="KSF77" t="s">
        <v>633</v>
      </c>
      <c r="KSG77" t="s">
        <v>229</v>
      </c>
      <c r="KSH77" t="s">
        <v>633</v>
      </c>
      <c r="KSI77" t="s">
        <v>229</v>
      </c>
      <c r="KSJ77" t="s">
        <v>633</v>
      </c>
      <c r="KSK77" t="s">
        <v>229</v>
      </c>
      <c r="KSL77" t="s">
        <v>633</v>
      </c>
      <c r="KSM77" t="s">
        <v>229</v>
      </c>
      <c r="KSN77" t="s">
        <v>633</v>
      </c>
      <c r="KSO77" t="s">
        <v>229</v>
      </c>
      <c r="KSP77" t="s">
        <v>633</v>
      </c>
      <c r="KSQ77" t="s">
        <v>229</v>
      </c>
      <c r="KSR77" t="s">
        <v>633</v>
      </c>
      <c r="KSS77" t="s">
        <v>229</v>
      </c>
      <c r="KST77" t="s">
        <v>633</v>
      </c>
      <c r="KSU77" t="s">
        <v>229</v>
      </c>
      <c r="KSV77" t="s">
        <v>633</v>
      </c>
      <c r="KSW77" t="s">
        <v>229</v>
      </c>
      <c r="KSX77" t="s">
        <v>633</v>
      </c>
      <c r="KSY77" t="s">
        <v>229</v>
      </c>
      <c r="KSZ77" t="s">
        <v>633</v>
      </c>
      <c r="KTA77" t="s">
        <v>229</v>
      </c>
      <c r="KTB77" t="s">
        <v>633</v>
      </c>
      <c r="KTC77" t="s">
        <v>229</v>
      </c>
      <c r="KTD77" t="s">
        <v>633</v>
      </c>
      <c r="KTE77" t="s">
        <v>229</v>
      </c>
      <c r="KTF77" t="s">
        <v>633</v>
      </c>
      <c r="KTG77" t="s">
        <v>229</v>
      </c>
      <c r="KTH77" t="s">
        <v>633</v>
      </c>
      <c r="KTI77" t="s">
        <v>229</v>
      </c>
      <c r="KTJ77" t="s">
        <v>633</v>
      </c>
      <c r="KTK77" t="s">
        <v>229</v>
      </c>
      <c r="KTL77" t="s">
        <v>633</v>
      </c>
      <c r="KTM77" t="s">
        <v>229</v>
      </c>
      <c r="KTN77" t="s">
        <v>633</v>
      </c>
      <c r="KTO77" t="s">
        <v>229</v>
      </c>
      <c r="KTP77" t="s">
        <v>633</v>
      </c>
      <c r="KTQ77" t="s">
        <v>229</v>
      </c>
      <c r="KTR77" t="s">
        <v>633</v>
      </c>
      <c r="KTS77" t="s">
        <v>229</v>
      </c>
      <c r="KTT77" t="s">
        <v>633</v>
      </c>
      <c r="KTU77" t="s">
        <v>229</v>
      </c>
      <c r="KTV77" t="s">
        <v>633</v>
      </c>
      <c r="KTW77" t="s">
        <v>229</v>
      </c>
      <c r="KTX77" t="s">
        <v>633</v>
      </c>
      <c r="KTY77" t="s">
        <v>229</v>
      </c>
      <c r="KTZ77" t="s">
        <v>633</v>
      </c>
      <c r="KUA77" t="s">
        <v>229</v>
      </c>
      <c r="KUB77" t="s">
        <v>633</v>
      </c>
      <c r="KUC77" t="s">
        <v>229</v>
      </c>
      <c r="KUD77" t="s">
        <v>633</v>
      </c>
      <c r="KUE77" t="s">
        <v>229</v>
      </c>
      <c r="KUF77" t="s">
        <v>633</v>
      </c>
      <c r="KUG77" t="s">
        <v>229</v>
      </c>
      <c r="KUH77" t="s">
        <v>633</v>
      </c>
      <c r="KUI77" t="s">
        <v>229</v>
      </c>
      <c r="KUJ77" t="s">
        <v>633</v>
      </c>
      <c r="KUK77" t="s">
        <v>229</v>
      </c>
      <c r="KUL77" t="s">
        <v>633</v>
      </c>
      <c r="KUM77" t="s">
        <v>229</v>
      </c>
      <c r="KUN77" t="s">
        <v>633</v>
      </c>
      <c r="KUO77" t="s">
        <v>229</v>
      </c>
      <c r="KUP77" t="s">
        <v>633</v>
      </c>
      <c r="KUQ77" t="s">
        <v>229</v>
      </c>
      <c r="KUR77" t="s">
        <v>633</v>
      </c>
      <c r="KUS77" t="s">
        <v>229</v>
      </c>
      <c r="KUT77" t="s">
        <v>633</v>
      </c>
      <c r="KUU77" t="s">
        <v>229</v>
      </c>
      <c r="KUV77" t="s">
        <v>633</v>
      </c>
      <c r="KUW77" t="s">
        <v>229</v>
      </c>
      <c r="KUX77" t="s">
        <v>633</v>
      </c>
      <c r="KUY77" t="s">
        <v>229</v>
      </c>
      <c r="KUZ77" t="s">
        <v>633</v>
      </c>
      <c r="KVA77" t="s">
        <v>229</v>
      </c>
      <c r="KVB77" t="s">
        <v>633</v>
      </c>
      <c r="KVC77" t="s">
        <v>229</v>
      </c>
      <c r="KVD77" t="s">
        <v>633</v>
      </c>
      <c r="KVE77" t="s">
        <v>229</v>
      </c>
      <c r="KVF77" t="s">
        <v>633</v>
      </c>
      <c r="KVG77" t="s">
        <v>229</v>
      </c>
      <c r="KVH77" t="s">
        <v>633</v>
      </c>
      <c r="KVI77" t="s">
        <v>229</v>
      </c>
      <c r="KVJ77" t="s">
        <v>633</v>
      </c>
      <c r="KVK77" t="s">
        <v>229</v>
      </c>
      <c r="KVL77" t="s">
        <v>633</v>
      </c>
      <c r="KVM77" t="s">
        <v>229</v>
      </c>
      <c r="KVN77" t="s">
        <v>633</v>
      </c>
      <c r="KVO77" t="s">
        <v>229</v>
      </c>
      <c r="KVP77" t="s">
        <v>633</v>
      </c>
      <c r="KVQ77" t="s">
        <v>229</v>
      </c>
      <c r="KVR77" t="s">
        <v>633</v>
      </c>
      <c r="KVS77" t="s">
        <v>229</v>
      </c>
      <c r="KVT77" t="s">
        <v>633</v>
      </c>
      <c r="KVU77" t="s">
        <v>229</v>
      </c>
      <c r="KVV77" t="s">
        <v>633</v>
      </c>
      <c r="KVW77" t="s">
        <v>229</v>
      </c>
      <c r="KVX77" t="s">
        <v>633</v>
      </c>
      <c r="KVY77" t="s">
        <v>229</v>
      </c>
      <c r="KVZ77" t="s">
        <v>633</v>
      </c>
      <c r="KWA77" t="s">
        <v>229</v>
      </c>
      <c r="KWB77" t="s">
        <v>633</v>
      </c>
      <c r="KWC77" t="s">
        <v>229</v>
      </c>
      <c r="KWD77" t="s">
        <v>633</v>
      </c>
      <c r="KWE77" t="s">
        <v>229</v>
      </c>
      <c r="KWF77" t="s">
        <v>633</v>
      </c>
      <c r="KWG77" t="s">
        <v>229</v>
      </c>
      <c r="KWH77" t="s">
        <v>633</v>
      </c>
      <c r="KWI77" t="s">
        <v>229</v>
      </c>
      <c r="KWJ77" t="s">
        <v>633</v>
      </c>
      <c r="KWK77" t="s">
        <v>229</v>
      </c>
      <c r="KWL77" t="s">
        <v>633</v>
      </c>
      <c r="KWM77" t="s">
        <v>229</v>
      </c>
      <c r="KWN77" t="s">
        <v>633</v>
      </c>
      <c r="KWO77" t="s">
        <v>229</v>
      </c>
      <c r="KWP77" t="s">
        <v>633</v>
      </c>
      <c r="KWQ77" t="s">
        <v>229</v>
      </c>
      <c r="KWR77" t="s">
        <v>633</v>
      </c>
      <c r="KWS77" t="s">
        <v>229</v>
      </c>
      <c r="KWT77" t="s">
        <v>633</v>
      </c>
      <c r="KWU77" t="s">
        <v>229</v>
      </c>
      <c r="KWV77" t="s">
        <v>633</v>
      </c>
      <c r="KWW77" t="s">
        <v>229</v>
      </c>
      <c r="KWX77" t="s">
        <v>633</v>
      </c>
      <c r="KWY77" t="s">
        <v>229</v>
      </c>
      <c r="KWZ77" t="s">
        <v>633</v>
      </c>
      <c r="KXA77" t="s">
        <v>229</v>
      </c>
      <c r="KXB77" t="s">
        <v>633</v>
      </c>
      <c r="KXC77" t="s">
        <v>229</v>
      </c>
      <c r="KXD77" t="s">
        <v>633</v>
      </c>
      <c r="KXE77" t="s">
        <v>229</v>
      </c>
      <c r="KXF77" t="s">
        <v>633</v>
      </c>
      <c r="KXG77" t="s">
        <v>229</v>
      </c>
      <c r="KXH77" t="s">
        <v>633</v>
      </c>
      <c r="KXI77" t="s">
        <v>229</v>
      </c>
      <c r="KXJ77" t="s">
        <v>633</v>
      </c>
      <c r="KXK77" t="s">
        <v>229</v>
      </c>
      <c r="KXL77" t="s">
        <v>633</v>
      </c>
      <c r="KXM77" t="s">
        <v>229</v>
      </c>
      <c r="KXN77" t="s">
        <v>633</v>
      </c>
      <c r="KXO77" t="s">
        <v>229</v>
      </c>
      <c r="KXP77" t="s">
        <v>633</v>
      </c>
      <c r="KXQ77" t="s">
        <v>229</v>
      </c>
      <c r="KXR77" t="s">
        <v>633</v>
      </c>
      <c r="KXS77" t="s">
        <v>229</v>
      </c>
      <c r="KXT77" t="s">
        <v>633</v>
      </c>
      <c r="KXU77" t="s">
        <v>229</v>
      </c>
      <c r="KXV77" t="s">
        <v>633</v>
      </c>
      <c r="KXW77" t="s">
        <v>229</v>
      </c>
      <c r="KXX77" t="s">
        <v>633</v>
      </c>
      <c r="KXY77" t="s">
        <v>229</v>
      </c>
      <c r="KXZ77" t="s">
        <v>633</v>
      </c>
      <c r="KYA77" t="s">
        <v>229</v>
      </c>
      <c r="KYB77" t="s">
        <v>633</v>
      </c>
      <c r="KYC77" t="s">
        <v>229</v>
      </c>
      <c r="KYD77" t="s">
        <v>633</v>
      </c>
      <c r="KYE77" t="s">
        <v>229</v>
      </c>
      <c r="KYF77" t="s">
        <v>633</v>
      </c>
      <c r="KYG77" t="s">
        <v>229</v>
      </c>
      <c r="KYH77" t="s">
        <v>633</v>
      </c>
      <c r="KYI77" t="s">
        <v>229</v>
      </c>
      <c r="KYJ77" t="s">
        <v>633</v>
      </c>
      <c r="KYK77" t="s">
        <v>229</v>
      </c>
      <c r="KYL77" t="s">
        <v>633</v>
      </c>
      <c r="KYM77" t="s">
        <v>229</v>
      </c>
      <c r="KYN77" t="s">
        <v>633</v>
      </c>
      <c r="KYO77" t="s">
        <v>229</v>
      </c>
      <c r="KYP77" t="s">
        <v>633</v>
      </c>
      <c r="KYQ77" t="s">
        <v>229</v>
      </c>
      <c r="KYR77" t="s">
        <v>633</v>
      </c>
      <c r="KYS77" t="s">
        <v>229</v>
      </c>
      <c r="KYT77" t="s">
        <v>633</v>
      </c>
      <c r="KYU77" t="s">
        <v>229</v>
      </c>
      <c r="KYV77" t="s">
        <v>633</v>
      </c>
      <c r="KYW77" t="s">
        <v>229</v>
      </c>
      <c r="KYX77" t="s">
        <v>633</v>
      </c>
      <c r="KYY77" t="s">
        <v>229</v>
      </c>
      <c r="KYZ77" t="s">
        <v>633</v>
      </c>
      <c r="KZA77" t="s">
        <v>229</v>
      </c>
      <c r="KZB77" t="s">
        <v>633</v>
      </c>
      <c r="KZC77" t="s">
        <v>229</v>
      </c>
      <c r="KZD77" t="s">
        <v>633</v>
      </c>
      <c r="KZE77" t="s">
        <v>229</v>
      </c>
      <c r="KZF77" t="s">
        <v>633</v>
      </c>
      <c r="KZG77" t="s">
        <v>229</v>
      </c>
      <c r="KZH77" t="s">
        <v>633</v>
      </c>
      <c r="KZI77" t="s">
        <v>229</v>
      </c>
      <c r="KZJ77" t="s">
        <v>633</v>
      </c>
      <c r="KZK77" t="s">
        <v>229</v>
      </c>
      <c r="KZL77" t="s">
        <v>633</v>
      </c>
      <c r="KZM77" t="s">
        <v>229</v>
      </c>
      <c r="KZN77" t="s">
        <v>633</v>
      </c>
      <c r="KZO77" t="s">
        <v>229</v>
      </c>
      <c r="KZP77" t="s">
        <v>633</v>
      </c>
      <c r="KZQ77" t="s">
        <v>229</v>
      </c>
      <c r="KZR77" t="s">
        <v>633</v>
      </c>
      <c r="KZS77" t="s">
        <v>229</v>
      </c>
      <c r="KZT77" t="s">
        <v>633</v>
      </c>
      <c r="KZU77" t="s">
        <v>229</v>
      </c>
      <c r="KZV77" t="s">
        <v>633</v>
      </c>
      <c r="KZW77" t="s">
        <v>229</v>
      </c>
      <c r="KZX77" t="s">
        <v>633</v>
      </c>
      <c r="KZY77" t="s">
        <v>229</v>
      </c>
      <c r="KZZ77" t="s">
        <v>633</v>
      </c>
      <c r="LAA77" t="s">
        <v>229</v>
      </c>
      <c r="LAB77" t="s">
        <v>633</v>
      </c>
      <c r="LAC77" t="s">
        <v>229</v>
      </c>
      <c r="LAD77" t="s">
        <v>633</v>
      </c>
      <c r="LAE77" t="s">
        <v>229</v>
      </c>
      <c r="LAF77" t="s">
        <v>633</v>
      </c>
      <c r="LAG77" t="s">
        <v>229</v>
      </c>
      <c r="LAH77" t="s">
        <v>633</v>
      </c>
      <c r="LAI77" t="s">
        <v>229</v>
      </c>
      <c r="LAJ77" t="s">
        <v>633</v>
      </c>
      <c r="LAK77" t="s">
        <v>229</v>
      </c>
      <c r="LAL77" t="s">
        <v>633</v>
      </c>
      <c r="LAM77" t="s">
        <v>229</v>
      </c>
      <c r="LAN77" t="s">
        <v>633</v>
      </c>
      <c r="LAO77" t="s">
        <v>229</v>
      </c>
      <c r="LAP77" t="s">
        <v>633</v>
      </c>
      <c r="LAQ77" t="s">
        <v>229</v>
      </c>
      <c r="LAR77" t="s">
        <v>633</v>
      </c>
      <c r="LAS77" t="s">
        <v>229</v>
      </c>
      <c r="LAT77" t="s">
        <v>633</v>
      </c>
      <c r="LAU77" t="s">
        <v>229</v>
      </c>
      <c r="LAV77" t="s">
        <v>633</v>
      </c>
      <c r="LAW77" t="s">
        <v>229</v>
      </c>
      <c r="LAX77" t="s">
        <v>633</v>
      </c>
      <c r="LAY77" t="s">
        <v>229</v>
      </c>
      <c r="LAZ77" t="s">
        <v>633</v>
      </c>
      <c r="LBA77" t="s">
        <v>229</v>
      </c>
      <c r="LBB77" t="s">
        <v>633</v>
      </c>
      <c r="LBC77" t="s">
        <v>229</v>
      </c>
      <c r="LBD77" t="s">
        <v>633</v>
      </c>
      <c r="LBE77" t="s">
        <v>229</v>
      </c>
      <c r="LBF77" t="s">
        <v>633</v>
      </c>
      <c r="LBG77" t="s">
        <v>229</v>
      </c>
      <c r="LBH77" t="s">
        <v>633</v>
      </c>
      <c r="LBI77" t="s">
        <v>229</v>
      </c>
      <c r="LBJ77" t="s">
        <v>633</v>
      </c>
      <c r="LBK77" t="s">
        <v>229</v>
      </c>
      <c r="LBL77" t="s">
        <v>633</v>
      </c>
      <c r="LBM77" t="s">
        <v>229</v>
      </c>
      <c r="LBN77" t="s">
        <v>633</v>
      </c>
      <c r="LBO77" t="s">
        <v>229</v>
      </c>
      <c r="LBP77" t="s">
        <v>633</v>
      </c>
      <c r="LBQ77" t="s">
        <v>229</v>
      </c>
      <c r="LBR77" t="s">
        <v>633</v>
      </c>
      <c r="LBS77" t="s">
        <v>229</v>
      </c>
      <c r="LBT77" t="s">
        <v>633</v>
      </c>
      <c r="LBU77" t="s">
        <v>229</v>
      </c>
      <c r="LBV77" t="s">
        <v>633</v>
      </c>
      <c r="LBW77" t="s">
        <v>229</v>
      </c>
      <c r="LBX77" t="s">
        <v>633</v>
      </c>
      <c r="LBY77" t="s">
        <v>229</v>
      </c>
      <c r="LBZ77" t="s">
        <v>633</v>
      </c>
      <c r="LCA77" t="s">
        <v>229</v>
      </c>
      <c r="LCB77" t="s">
        <v>633</v>
      </c>
      <c r="LCC77" t="s">
        <v>229</v>
      </c>
      <c r="LCD77" t="s">
        <v>633</v>
      </c>
      <c r="LCE77" t="s">
        <v>229</v>
      </c>
      <c r="LCF77" t="s">
        <v>633</v>
      </c>
      <c r="LCG77" t="s">
        <v>229</v>
      </c>
      <c r="LCH77" t="s">
        <v>633</v>
      </c>
      <c r="LCI77" t="s">
        <v>229</v>
      </c>
      <c r="LCJ77" t="s">
        <v>633</v>
      </c>
      <c r="LCK77" t="s">
        <v>229</v>
      </c>
      <c r="LCL77" t="s">
        <v>633</v>
      </c>
      <c r="LCM77" t="s">
        <v>229</v>
      </c>
      <c r="LCN77" t="s">
        <v>633</v>
      </c>
      <c r="LCO77" t="s">
        <v>229</v>
      </c>
      <c r="LCP77" t="s">
        <v>633</v>
      </c>
      <c r="LCQ77" t="s">
        <v>229</v>
      </c>
      <c r="LCR77" t="s">
        <v>633</v>
      </c>
      <c r="LCS77" t="s">
        <v>229</v>
      </c>
      <c r="LCT77" t="s">
        <v>633</v>
      </c>
      <c r="LCU77" t="s">
        <v>229</v>
      </c>
      <c r="LCV77" t="s">
        <v>633</v>
      </c>
      <c r="LCW77" t="s">
        <v>229</v>
      </c>
      <c r="LCX77" t="s">
        <v>633</v>
      </c>
      <c r="LCY77" t="s">
        <v>229</v>
      </c>
      <c r="LCZ77" t="s">
        <v>633</v>
      </c>
      <c r="LDA77" t="s">
        <v>229</v>
      </c>
      <c r="LDB77" t="s">
        <v>633</v>
      </c>
      <c r="LDC77" t="s">
        <v>229</v>
      </c>
      <c r="LDD77" t="s">
        <v>633</v>
      </c>
      <c r="LDE77" t="s">
        <v>229</v>
      </c>
      <c r="LDF77" t="s">
        <v>633</v>
      </c>
      <c r="LDG77" t="s">
        <v>229</v>
      </c>
      <c r="LDH77" t="s">
        <v>633</v>
      </c>
      <c r="LDI77" t="s">
        <v>229</v>
      </c>
      <c r="LDJ77" t="s">
        <v>633</v>
      </c>
      <c r="LDK77" t="s">
        <v>229</v>
      </c>
      <c r="LDL77" t="s">
        <v>633</v>
      </c>
      <c r="LDM77" t="s">
        <v>229</v>
      </c>
      <c r="LDN77" t="s">
        <v>633</v>
      </c>
      <c r="LDO77" t="s">
        <v>229</v>
      </c>
      <c r="LDP77" t="s">
        <v>633</v>
      </c>
      <c r="LDQ77" t="s">
        <v>229</v>
      </c>
      <c r="LDR77" t="s">
        <v>633</v>
      </c>
      <c r="LDS77" t="s">
        <v>229</v>
      </c>
      <c r="LDT77" t="s">
        <v>633</v>
      </c>
      <c r="LDU77" t="s">
        <v>229</v>
      </c>
      <c r="LDV77" t="s">
        <v>633</v>
      </c>
      <c r="LDW77" t="s">
        <v>229</v>
      </c>
      <c r="LDX77" t="s">
        <v>633</v>
      </c>
      <c r="LDY77" t="s">
        <v>229</v>
      </c>
      <c r="LDZ77" t="s">
        <v>633</v>
      </c>
      <c r="LEA77" t="s">
        <v>229</v>
      </c>
      <c r="LEB77" t="s">
        <v>633</v>
      </c>
      <c r="LEC77" t="s">
        <v>229</v>
      </c>
      <c r="LED77" t="s">
        <v>633</v>
      </c>
      <c r="LEE77" t="s">
        <v>229</v>
      </c>
      <c r="LEF77" t="s">
        <v>633</v>
      </c>
      <c r="LEG77" t="s">
        <v>229</v>
      </c>
      <c r="LEH77" t="s">
        <v>633</v>
      </c>
      <c r="LEI77" t="s">
        <v>229</v>
      </c>
      <c r="LEJ77" t="s">
        <v>633</v>
      </c>
      <c r="LEK77" t="s">
        <v>229</v>
      </c>
      <c r="LEL77" t="s">
        <v>633</v>
      </c>
      <c r="LEM77" t="s">
        <v>229</v>
      </c>
      <c r="LEN77" t="s">
        <v>633</v>
      </c>
      <c r="LEO77" t="s">
        <v>229</v>
      </c>
      <c r="LEP77" t="s">
        <v>633</v>
      </c>
      <c r="LEQ77" t="s">
        <v>229</v>
      </c>
      <c r="LER77" t="s">
        <v>633</v>
      </c>
      <c r="LES77" t="s">
        <v>229</v>
      </c>
      <c r="LET77" t="s">
        <v>633</v>
      </c>
      <c r="LEU77" t="s">
        <v>229</v>
      </c>
      <c r="LEV77" t="s">
        <v>633</v>
      </c>
      <c r="LEW77" t="s">
        <v>229</v>
      </c>
      <c r="LEX77" t="s">
        <v>633</v>
      </c>
      <c r="LEY77" t="s">
        <v>229</v>
      </c>
      <c r="LEZ77" t="s">
        <v>633</v>
      </c>
      <c r="LFA77" t="s">
        <v>229</v>
      </c>
      <c r="LFB77" t="s">
        <v>633</v>
      </c>
      <c r="LFC77" t="s">
        <v>229</v>
      </c>
      <c r="LFD77" t="s">
        <v>633</v>
      </c>
      <c r="LFE77" t="s">
        <v>229</v>
      </c>
      <c r="LFF77" t="s">
        <v>633</v>
      </c>
      <c r="LFG77" t="s">
        <v>229</v>
      </c>
      <c r="LFH77" t="s">
        <v>633</v>
      </c>
      <c r="LFI77" t="s">
        <v>229</v>
      </c>
      <c r="LFJ77" t="s">
        <v>633</v>
      </c>
      <c r="LFK77" t="s">
        <v>229</v>
      </c>
      <c r="LFL77" t="s">
        <v>633</v>
      </c>
      <c r="LFM77" t="s">
        <v>229</v>
      </c>
      <c r="LFN77" t="s">
        <v>633</v>
      </c>
      <c r="LFO77" t="s">
        <v>229</v>
      </c>
      <c r="LFP77" t="s">
        <v>633</v>
      </c>
      <c r="LFQ77" t="s">
        <v>229</v>
      </c>
      <c r="LFR77" t="s">
        <v>633</v>
      </c>
      <c r="LFS77" t="s">
        <v>229</v>
      </c>
      <c r="LFT77" t="s">
        <v>633</v>
      </c>
      <c r="LFU77" t="s">
        <v>229</v>
      </c>
      <c r="LFV77" t="s">
        <v>633</v>
      </c>
      <c r="LFW77" t="s">
        <v>229</v>
      </c>
      <c r="LFX77" t="s">
        <v>633</v>
      </c>
      <c r="LFY77" t="s">
        <v>229</v>
      </c>
      <c r="LFZ77" t="s">
        <v>633</v>
      </c>
      <c r="LGA77" t="s">
        <v>229</v>
      </c>
      <c r="LGB77" t="s">
        <v>633</v>
      </c>
      <c r="LGC77" t="s">
        <v>229</v>
      </c>
      <c r="LGD77" t="s">
        <v>633</v>
      </c>
      <c r="LGE77" t="s">
        <v>229</v>
      </c>
      <c r="LGF77" t="s">
        <v>633</v>
      </c>
      <c r="LGG77" t="s">
        <v>229</v>
      </c>
      <c r="LGH77" t="s">
        <v>633</v>
      </c>
      <c r="LGI77" t="s">
        <v>229</v>
      </c>
      <c r="LGJ77" t="s">
        <v>633</v>
      </c>
      <c r="LGK77" t="s">
        <v>229</v>
      </c>
      <c r="LGL77" t="s">
        <v>633</v>
      </c>
      <c r="LGM77" t="s">
        <v>229</v>
      </c>
      <c r="LGN77" t="s">
        <v>633</v>
      </c>
      <c r="LGO77" t="s">
        <v>229</v>
      </c>
      <c r="LGP77" t="s">
        <v>633</v>
      </c>
      <c r="LGQ77" t="s">
        <v>229</v>
      </c>
      <c r="LGR77" t="s">
        <v>633</v>
      </c>
      <c r="LGS77" t="s">
        <v>229</v>
      </c>
      <c r="LGT77" t="s">
        <v>633</v>
      </c>
      <c r="LGU77" t="s">
        <v>229</v>
      </c>
      <c r="LGV77" t="s">
        <v>633</v>
      </c>
      <c r="LGW77" t="s">
        <v>229</v>
      </c>
      <c r="LGX77" t="s">
        <v>633</v>
      </c>
      <c r="LGY77" t="s">
        <v>229</v>
      </c>
      <c r="LGZ77" t="s">
        <v>633</v>
      </c>
      <c r="LHA77" t="s">
        <v>229</v>
      </c>
      <c r="LHB77" t="s">
        <v>633</v>
      </c>
      <c r="LHC77" t="s">
        <v>229</v>
      </c>
      <c r="LHD77" t="s">
        <v>633</v>
      </c>
      <c r="LHE77" t="s">
        <v>229</v>
      </c>
      <c r="LHF77" t="s">
        <v>633</v>
      </c>
      <c r="LHG77" t="s">
        <v>229</v>
      </c>
      <c r="LHH77" t="s">
        <v>633</v>
      </c>
      <c r="LHI77" t="s">
        <v>229</v>
      </c>
      <c r="LHJ77" t="s">
        <v>633</v>
      </c>
      <c r="LHK77" t="s">
        <v>229</v>
      </c>
      <c r="LHL77" t="s">
        <v>633</v>
      </c>
      <c r="LHM77" t="s">
        <v>229</v>
      </c>
      <c r="LHN77" t="s">
        <v>633</v>
      </c>
      <c r="LHO77" t="s">
        <v>229</v>
      </c>
      <c r="LHP77" t="s">
        <v>633</v>
      </c>
      <c r="LHQ77" t="s">
        <v>229</v>
      </c>
      <c r="LHR77" t="s">
        <v>633</v>
      </c>
      <c r="LHS77" t="s">
        <v>229</v>
      </c>
      <c r="LHT77" t="s">
        <v>633</v>
      </c>
      <c r="LHU77" t="s">
        <v>229</v>
      </c>
      <c r="LHV77" t="s">
        <v>633</v>
      </c>
      <c r="LHW77" t="s">
        <v>229</v>
      </c>
      <c r="LHX77" t="s">
        <v>633</v>
      </c>
      <c r="LHY77" t="s">
        <v>229</v>
      </c>
      <c r="LHZ77" t="s">
        <v>633</v>
      </c>
      <c r="LIA77" t="s">
        <v>229</v>
      </c>
      <c r="LIB77" t="s">
        <v>633</v>
      </c>
      <c r="LIC77" t="s">
        <v>229</v>
      </c>
      <c r="LID77" t="s">
        <v>633</v>
      </c>
      <c r="LIE77" t="s">
        <v>229</v>
      </c>
      <c r="LIF77" t="s">
        <v>633</v>
      </c>
      <c r="LIG77" t="s">
        <v>229</v>
      </c>
      <c r="LIH77" t="s">
        <v>633</v>
      </c>
      <c r="LII77" t="s">
        <v>229</v>
      </c>
      <c r="LIJ77" t="s">
        <v>633</v>
      </c>
      <c r="LIK77" t="s">
        <v>229</v>
      </c>
      <c r="LIL77" t="s">
        <v>633</v>
      </c>
      <c r="LIM77" t="s">
        <v>229</v>
      </c>
      <c r="LIN77" t="s">
        <v>633</v>
      </c>
      <c r="LIO77" t="s">
        <v>229</v>
      </c>
      <c r="LIP77" t="s">
        <v>633</v>
      </c>
      <c r="LIQ77" t="s">
        <v>229</v>
      </c>
      <c r="LIR77" t="s">
        <v>633</v>
      </c>
      <c r="LIS77" t="s">
        <v>229</v>
      </c>
      <c r="LIT77" t="s">
        <v>633</v>
      </c>
      <c r="LIU77" t="s">
        <v>229</v>
      </c>
      <c r="LIV77" t="s">
        <v>633</v>
      </c>
      <c r="LIW77" t="s">
        <v>229</v>
      </c>
      <c r="LIX77" t="s">
        <v>633</v>
      </c>
      <c r="LIY77" t="s">
        <v>229</v>
      </c>
      <c r="LIZ77" t="s">
        <v>633</v>
      </c>
      <c r="LJA77" t="s">
        <v>229</v>
      </c>
      <c r="LJB77" t="s">
        <v>633</v>
      </c>
      <c r="LJC77" t="s">
        <v>229</v>
      </c>
      <c r="LJD77" t="s">
        <v>633</v>
      </c>
      <c r="LJE77" t="s">
        <v>229</v>
      </c>
      <c r="LJF77" t="s">
        <v>633</v>
      </c>
      <c r="LJG77" t="s">
        <v>229</v>
      </c>
      <c r="LJH77" t="s">
        <v>633</v>
      </c>
      <c r="LJI77" t="s">
        <v>229</v>
      </c>
      <c r="LJJ77" t="s">
        <v>633</v>
      </c>
      <c r="LJK77" t="s">
        <v>229</v>
      </c>
      <c r="LJL77" t="s">
        <v>633</v>
      </c>
      <c r="LJM77" t="s">
        <v>229</v>
      </c>
      <c r="LJN77" t="s">
        <v>633</v>
      </c>
      <c r="LJO77" t="s">
        <v>229</v>
      </c>
      <c r="LJP77" t="s">
        <v>633</v>
      </c>
      <c r="LJQ77" t="s">
        <v>229</v>
      </c>
      <c r="LJR77" t="s">
        <v>633</v>
      </c>
      <c r="LJS77" t="s">
        <v>229</v>
      </c>
      <c r="LJT77" t="s">
        <v>633</v>
      </c>
      <c r="LJU77" t="s">
        <v>229</v>
      </c>
      <c r="LJV77" t="s">
        <v>633</v>
      </c>
      <c r="LJW77" t="s">
        <v>229</v>
      </c>
      <c r="LJX77" t="s">
        <v>633</v>
      </c>
      <c r="LJY77" t="s">
        <v>229</v>
      </c>
      <c r="LJZ77" t="s">
        <v>633</v>
      </c>
      <c r="LKA77" t="s">
        <v>229</v>
      </c>
      <c r="LKB77" t="s">
        <v>633</v>
      </c>
      <c r="LKC77" t="s">
        <v>229</v>
      </c>
      <c r="LKD77" t="s">
        <v>633</v>
      </c>
      <c r="LKE77" t="s">
        <v>229</v>
      </c>
      <c r="LKF77" t="s">
        <v>633</v>
      </c>
      <c r="LKG77" t="s">
        <v>229</v>
      </c>
      <c r="LKH77" t="s">
        <v>633</v>
      </c>
      <c r="LKI77" t="s">
        <v>229</v>
      </c>
      <c r="LKJ77" t="s">
        <v>633</v>
      </c>
      <c r="LKK77" t="s">
        <v>229</v>
      </c>
      <c r="LKL77" t="s">
        <v>633</v>
      </c>
      <c r="LKM77" t="s">
        <v>229</v>
      </c>
      <c r="LKN77" t="s">
        <v>633</v>
      </c>
      <c r="LKO77" t="s">
        <v>229</v>
      </c>
      <c r="LKP77" t="s">
        <v>633</v>
      </c>
      <c r="LKQ77" t="s">
        <v>229</v>
      </c>
      <c r="LKR77" t="s">
        <v>633</v>
      </c>
      <c r="LKS77" t="s">
        <v>229</v>
      </c>
      <c r="LKT77" t="s">
        <v>633</v>
      </c>
      <c r="LKU77" t="s">
        <v>229</v>
      </c>
      <c r="LKV77" t="s">
        <v>633</v>
      </c>
      <c r="LKW77" t="s">
        <v>229</v>
      </c>
      <c r="LKX77" t="s">
        <v>633</v>
      </c>
      <c r="LKY77" t="s">
        <v>229</v>
      </c>
      <c r="LKZ77" t="s">
        <v>633</v>
      </c>
      <c r="LLA77" t="s">
        <v>229</v>
      </c>
      <c r="LLB77" t="s">
        <v>633</v>
      </c>
      <c r="LLC77" t="s">
        <v>229</v>
      </c>
      <c r="LLD77" t="s">
        <v>633</v>
      </c>
      <c r="LLE77" t="s">
        <v>229</v>
      </c>
      <c r="LLF77" t="s">
        <v>633</v>
      </c>
      <c r="LLG77" t="s">
        <v>229</v>
      </c>
      <c r="LLH77" t="s">
        <v>633</v>
      </c>
      <c r="LLI77" t="s">
        <v>229</v>
      </c>
      <c r="LLJ77" t="s">
        <v>633</v>
      </c>
      <c r="LLK77" t="s">
        <v>229</v>
      </c>
      <c r="LLL77" t="s">
        <v>633</v>
      </c>
      <c r="LLM77" t="s">
        <v>229</v>
      </c>
      <c r="LLN77" t="s">
        <v>633</v>
      </c>
      <c r="LLO77" t="s">
        <v>229</v>
      </c>
      <c r="LLP77" t="s">
        <v>633</v>
      </c>
      <c r="LLQ77" t="s">
        <v>229</v>
      </c>
      <c r="LLR77" t="s">
        <v>633</v>
      </c>
      <c r="LLS77" t="s">
        <v>229</v>
      </c>
      <c r="LLT77" t="s">
        <v>633</v>
      </c>
      <c r="LLU77" t="s">
        <v>229</v>
      </c>
      <c r="LLV77" t="s">
        <v>633</v>
      </c>
      <c r="LLW77" t="s">
        <v>229</v>
      </c>
      <c r="LLX77" t="s">
        <v>633</v>
      </c>
      <c r="LLY77" t="s">
        <v>229</v>
      </c>
      <c r="LLZ77" t="s">
        <v>633</v>
      </c>
      <c r="LMA77" t="s">
        <v>229</v>
      </c>
      <c r="LMB77" t="s">
        <v>633</v>
      </c>
      <c r="LMC77" t="s">
        <v>229</v>
      </c>
      <c r="LMD77" t="s">
        <v>633</v>
      </c>
      <c r="LME77" t="s">
        <v>229</v>
      </c>
      <c r="LMF77" t="s">
        <v>633</v>
      </c>
      <c r="LMG77" t="s">
        <v>229</v>
      </c>
      <c r="LMH77" t="s">
        <v>633</v>
      </c>
      <c r="LMI77" t="s">
        <v>229</v>
      </c>
      <c r="LMJ77" t="s">
        <v>633</v>
      </c>
      <c r="LMK77" t="s">
        <v>229</v>
      </c>
      <c r="LML77" t="s">
        <v>633</v>
      </c>
      <c r="LMM77" t="s">
        <v>229</v>
      </c>
      <c r="LMN77" t="s">
        <v>633</v>
      </c>
      <c r="LMO77" t="s">
        <v>229</v>
      </c>
      <c r="LMP77" t="s">
        <v>633</v>
      </c>
      <c r="LMQ77" t="s">
        <v>229</v>
      </c>
      <c r="LMR77" t="s">
        <v>633</v>
      </c>
      <c r="LMS77" t="s">
        <v>229</v>
      </c>
      <c r="LMT77" t="s">
        <v>633</v>
      </c>
      <c r="LMU77" t="s">
        <v>229</v>
      </c>
      <c r="LMV77" t="s">
        <v>633</v>
      </c>
      <c r="LMW77" t="s">
        <v>229</v>
      </c>
      <c r="LMX77" t="s">
        <v>633</v>
      </c>
      <c r="LMY77" t="s">
        <v>229</v>
      </c>
      <c r="LMZ77" t="s">
        <v>633</v>
      </c>
      <c r="LNA77" t="s">
        <v>229</v>
      </c>
      <c r="LNB77" t="s">
        <v>633</v>
      </c>
      <c r="LNC77" t="s">
        <v>229</v>
      </c>
      <c r="LND77" t="s">
        <v>633</v>
      </c>
      <c r="LNE77" t="s">
        <v>229</v>
      </c>
      <c r="LNF77" t="s">
        <v>633</v>
      </c>
      <c r="LNG77" t="s">
        <v>229</v>
      </c>
      <c r="LNH77" t="s">
        <v>633</v>
      </c>
      <c r="LNI77" t="s">
        <v>229</v>
      </c>
      <c r="LNJ77" t="s">
        <v>633</v>
      </c>
      <c r="LNK77" t="s">
        <v>229</v>
      </c>
      <c r="LNL77" t="s">
        <v>633</v>
      </c>
      <c r="LNM77" t="s">
        <v>229</v>
      </c>
      <c r="LNN77" t="s">
        <v>633</v>
      </c>
      <c r="LNO77" t="s">
        <v>229</v>
      </c>
      <c r="LNP77" t="s">
        <v>633</v>
      </c>
      <c r="LNQ77" t="s">
        <v>229</v>
      </c>
      <c r="LNR77" t="s">
        <v>633</v>
      </c>
      <c r="LNS77" t="s">
        <v>229</v>
      </c>
      <c r="LNT77" t="s">
        <v>633</v>
      </c>
      <c r="LNU77" t="s">
        <v>229</v>
      </c>
      <c r="LNV77" t="s">
        <v>633</v>
      </c>
      <c r="LNW77" t="s">
        <v>229</v>
      </c>
      <c r="LNX77" t="s">
        <v>633</v>
      </c>
      <c r="LNY77" t="s">
        <v>229</v>
      </c>
      <c r="LNZ77" t="s">
        <v>633</v>
      </c>
      <c r="LOA77" t="s">
        <v>229</v>
      </c>
      <c r="LOB77" t="s">
        <v>633</v>
      </c>
      <c r="LOC77" t="s">
        <v>229</v>
      </c>
      <c r="LOD77" t="s">
        <v>633</v>
      </c>
      <c r="LOE77" t="s">
        <v>229</v>
      </c>
      <c r="LOF77" t="s">
        <v>633</v>
      </c>
      <c r="LOG77" t="s">
        <v>229</v>
      </c>
      <c r="LOH77" t="s">
        <v>633</v>
      </c>
      <c r="LOI77" t="s">
        <v>229</v>
      </c>
      <c r="LOJ77" t="s">
        <v>633</v>
      </c>
      <c r="LOK77" t="s">
        <v>229</v>
      </c>
      <c r="LOL77" t="s">
        <v>633</v>
      </c>
      <c r="LOM77" t="s">
        <v>229</v>
      </c>
      <c r="LON77" t="s">
        <v>633</v>
      </c>
      <c r="LOO77" t="s">
        <v>229</v>
      </c>
      <c r="LOP77" t="s">
        <v>633</v>
      </c>
      <c r="LOQ77" t="s">
        <v>229</v>
      </c>
      <c r="LOR77" t="s">
        <v>633</v>
      </c>
      <c r="LOS77" t="s">
        <v>229</v>
      </c>
      <c r="LOT77" t="s">
        <v>633</v>
      </c>
      <c r="LOU77" t="s">
        <v>229</v>
      </c>
      <c r="LOV77" t="s">
        <v>633</v>
      </c>
      <c r="LOW77" t="s">
        <v>229</v>
      </c>
      <c r="LOX77" t="s">
        <v>633</v>
      </c>
      <c r="LOY77" t="s">
        <v>229</v>
      </c>
      <c r="LOZ77" t="s">
        <v>633</v>
      </c>
      <c r="LPA77" t="s">
        <v>229</v>
      </c>
      <c r="LPB77" t="s">
        <v>633</v>
      </c>
      <c r="LPC77" t="s">
        <v>229</v>
      </c>
      <c r="LPD77" t="s">
        <v>633</v>
      </c>
      <c r="LPE77" t="s">
        <v>229</v>
      </c>
      <c r="LPF77" t="s">
        <v>633</v>
      </c>
      <c r="LPG77" t="s">
        <v>229</v>
      </c>
      <c r="LPH77" t="s">
        <v>633</v>
      </c>
      <c r="LPI77" t="s">
        <v>229</v>
      </c>
      <c r="LPJ77" t="s">
        <v>633</v>
      </c>
      <c r="LPK77" t="s">
        <v>229</v>
      </c>
      <c r="LPL77" t="s">
        <v>633</v>
      </c>
      <c r="LPM77" t="s">
        <v>229</v>
      </c>
      <c r="LPN77" t="s">
        <v>633</v>
      </c>
      <c r="LPO77" t="s">
        <v>229</v>
      </c>
      <c r="LPP77" t="s">
        <v>633</v>
      </c>
      <c r="LPQ77" t="s">
        <v>229</v>
      </c>
      <c r="LPR77" t="s">
        <v>633</v>
      </c>
      <c r="LPS77" t="s">
        <v>229</v>
      </c>
      <c r="LPT77" t="s">
        <v>633</v>
      </c>
      <c r="LPU77" t="s">
        <v>229</v>
      </c>
      <c r="LPV77" t="s">
        <v>633</v>
      </c>
      <c r="LPW77" t="s">
        <v>229</v>
      </c>
      <c r="LPX77" t="s">
        <v>633</v>
      </c>
      <c r="LPY77" t="s">
        <v>229</v>
      </c>
      <c r="LPZ77" t="s">
        <v>633</v>
      </c>
      <c r="LQA77" t="s">
        <v>229</v>
      </c>
      <c r="LQB77" t="s">
        <v>633</v>
      </c>
      <c r="LQC77" t="s">
        <v>229</v>
      </c>
      <c r="LQD77" t="s">
        <v>633</v>
      </c>
      <c r="LQE77" t="s">
        <v>229</v>
      </c>
      <c r="LQF77" t="s">
        <v>633</v>
      </c>
      <c r="LQG77" t="s">
        <v>229</v>
      </c>
      <c r="LQH77" t="s">
        <v>633</v>
      </c>
      <c r="LQI77" t="s">
        <v>229</v>
      </c>
      <c r="LQJ77" t="s">
        <v>633</v>
      </c>
      <c r="LQK77" t="s">
        <v>229</v>
      </c>
      <c r="LQL77" t="s">
        <v>633</v>
      </c>
      <c r="LQM77" t="s">
        <v>229</v>
      </c>
      <c r="LQN77" t="s">
        <v>633</v>
      </c>
      <c r="LQO77" t="s">
        <v>229</v>
      </c>
      <c r="LQP77" t="s">
        <v>633</v>
      </c>
      <c r="LQQ77" t="s">
        <v>229</v>
      </c>
      <c r="LQR77" t="s">
        <v>633</v>
      </c>
      <c r="LQS77" t="s">
        <v>229</v>
      </c>
      <c r="LQT77" t="s">
        <v>633</v>
      </c>
      <c r="LQU77" t="s">
        <v>229</v>
      </c>
      <c r="LQV77" t="s">
        <v>633</v>
      </c>
      <c r="LQW77" t="s">
        <v>229</v>
      </c>
      <c r="LQX77" t="s">
        <v>633</v>
      </c>
      <c r="LQY77" t="s">
        <v>229</v>
      </c>
      <c r="LQZ77" t="s">
        <v>633</v>
      </c>
      <c r="LRA77" t="s">
        <v>229</v>
      </c>
      <c r="LRB77" t="s">
        <v>633</v>
      </c>
      <c r="LRC77" t="s">
        <v>229</v>
      </c>
      <c r="LRD77" t="s">
        <v>633</v>
      </c>
      <c r="LRE77" t="s">
        <v>229</v>
      </c>
      <c r="LRF77" t="s">
        <v>633</v>
      </c>
      <c r="LRG77" t="s">
        <v>229</v>
      </c>
      <c r="LRH77" t="s">
        <v>633</v>
      </c>
      <c r="LRI77" t="s">
        <v>229</v>
      </c>
      <c r="LRJ77" t="s">
        <v>633</v>
      </c>
      <c r="LRK77" t="s">
        <v>229</v>
      </c>
      <c r="LRL77" t="s">
        <v>633</v>
      </c>
      <c r="LRM77" t="s">
        <v>229</v>
      </c>
      <c r="LRN77" t="s">
        <v>633</v>
      </c>
      <c r="LRO77" t="s">
        <v>229</v>
      </c>
      <c r="LRP77" t="s">
        <v>633</v>
      </c>
      <c r="LRQ77" t="s">
        <v>229</v>
      </c>
      <c r="LRR77" t="s">
        <v>633</v>
      </c>
      <c r="LRS77" t="s">
        <v>229</v>
      </c>
      <c r="LRT77" t="s">
        <v>633</v>
      </c>
      <c r="LRU77" t="s">
        <v>229</v>
      </c>
      <c r="LRV77" t="s">
        <v>633</v>
      </c>
      <c r="LRW77" t="s">
        <v>229</v>
      </c>
      <c r="LRX77" t="s">
        <v>633</v>
      </c>
      <c r="LRY77" t="s">
        <v>229</v>
      </c>
      <c r="LRZ77" t="s">
        <v>633</v>
      </c>
      <c r="LSA77" t="s">
        <v>229</v>
      </c>
      <c r="LSB77" t="s">
        <v>633</v>
      </c>
      <c r="LSC77" t="s">
        <v>229</v>
      </c>
      <c r="LSD77" t="s">
        <v>633</v>
      </c>
      <c r="LSE77" t="s">
        <v>229</v>
      </c>
      <c r="LSF77" t="s">
        <v>633</v>
      </c>
      <c r="LSG77" t="s">
        <v>229</v>
      </c>
      <c r="LSH77" t="s">
        <v>633</v>
      </c>
      <c r="LSI77" t="s">
        <v>229</v>
      </c>
      <c r="LSJ77" t="s">
        <v>633</v>
      </c>
      <c r="LSK77" t="s">
        <v>229</v>
      </c>
      <c r="LSL77" t="s">
        <v>633</v>
      </c>
      <c r="LSM77" t="s">
        <v>229</v>
      </c>
      <c r="LSN77" t="s">
        <v>633</v>
      </c>
      <c r="LSO77" t="s">
        <v>229</v>
      </c>
      <c r="LSP77" t="s">
        <v>633</v>
      </c>
      <c r="LSQ77" t="s">
        <v>229</v>
      </c>
      <c r="LSR77" t="s">
        <v>633</v>
      </c>
      <c r="LSS77" t="s">
        <v>229</v>
      </c>
      <c r="LST77" t="s">
        <v>633</v>
      </c>
      <c r="LSU77" t="s">
        <v>229</v>
      </c>
      <c r="LSV77" t="s">
        <v>633</v>
      </c>
      <c r="LSW77" t="s">
        <v>229</v>
      </c>
      <c r="LSX77" t="s">
        <v>633</v>
      </c>
      <c r="LSY77" t="s">
        <v>229</v>
      </c>
      <c r="LSZ77" t="s">
        <v>633</v>
      </c>
      <c r="LTA77" t="s">
        <v>229</v>
      </c>
      <c r="LTB77" t="s">
        <v>633</v>
      </c>
      <c r="LTC77" t="s">
        <v>229</v>
      </c>
      <c r="LTD77" t="s">
        <v>633</v>
      </c>
      <c r="LTE77" t="s">
        <v>229</v>
      </c>
      <c r="LTF77" t="s">
        <v>633</v>
      </c>
      <c r="LTG77" t="s">
        <v>229</v>
      </c>
      <c r="LTH77" t="s">
        <v>633</v>
      </c>
      <c r="LTI77" t="s">
        <v>229</v>
      </c>
      <c r="LTJ77" t="s">
        <v>633</v>
      </c>
      <c r="LTK77" t="s">
        <v>229</v>
      </c>
      <c r="LTL77" t="s">
        <v>633</v>
      </c>
      <c r="LTM77" t="s">
        <v>229</v>
      </c>
      <c r="LTN77" t="s">
        <v>633</v>
      </c>
      <c r="LTO77" t="s">
        <v>229</v>
      </c>
      <c r="LTP77" t="s">
        <v>633</v>
      </c>
      <c r="LTQ77" t="s">
        <v>229</v>
      </c>
      <c r="LTR77" t="s">
        <v>633</v>
      </c>
      <c r="LTS77" t="s">
        <v>229</v>
      </c>
      <c r="LTT77" t="s">
        <v>633</v>
      </c>
      <c r="LTU77" t="s">
        <v>229</v>
      </c>
      <c r="LTV77" t="s">
        <v>633</v>
      </c>
      <c r="LTW77" t="s">
        <v>229</v>
      </c>
      <c r="LTX77" t="s">
        <v>633</v>
      </c>
      <c r="LTY77" t="s">
        <v>229</v>
      </c>
      <c r="LTZ77" t="s">
        <v>633</v>
      </c>
      <c r="LUA77" t="s">
        <v>229</v>
      </c>
      <c r="LUB77" t="s">
        <v>633</v>
      </c>
      <c r="LUC77" t="s">
        <v>229</v>
      </c>
      <c r="LUD77" t="s">
        <v>633</v>
      </c>
      <c r="LUE77" t="s">
        <v>229</v>
      </c>
      <c r="LUF77" t="s">
        <v>633</v>
      </c>
      <c r="LUG77" t="s">
        <v>229</v>
      </c>
      <c r="LUH77" t="s">
        <v>633</v>
      </c>
      <c r="LUI77" t="s">
        <v>229</v>
      </c>
      <c r="LUJ77" t="s">
        <v>633</v>
      </c>
      <c r="LUK77" t="s">
        <v>229</v>
      </c>
      <c r="LUL77" t="s">
        <v>633</v>
      </c>
      <c r="LUM77" t="s">
        <v>229</v>
      </c>
      <c r="LUN77" t="s">
        <v>633</v>
      </c>
      <c r="LUO77" t="s">
        <v>229</v>
      </c>
      <c r="LUP77" t="s">
        <v>633</v>
      </c>
      <c r="LUQ77" t="s">
        <v>229</v>
      </c>
      <c r="LUR77" t="s">
        <v>633</v>
      </c>
      <c r="LUS77" t="s">
        <v>229</v>
      </c>
      <c r="LUT77" t="s">
        <v>633</v>
      </c>
      <c r="LUU77" t="s">
        <v>229</v>
      </c>
      <c r="LUV77" t="s">
        <v>633</v>
      </c>
      <c r="LUW77" t="s">
        <v>229</v>
      </c>
      <c r="LUX77" t="s">
        <v>633</v>
      </c>
      <c r="LUY77" t="s">
        <v>229</v>
      </c>
      <c r="LUZ77" t="s">
        <v>633</v>
      </c>
      <c r="LVA77" t="s">
        <v>229</v>
      </c>
      <c r="LVB77" t="s">
        <v>633</v>
      </c>
      <c r="LVC77" t="s">
        <v>229</v>
      </c>
      <c r="LVD77" t="s">
        <v>633</v>
      </c>
      <c r="LVE77" t="s">
        <v>229</v>
      </c>
      <c r="LVF77" t="s">
        <v>633</v>
      </c>
      <c r="LVG77" t="s">
        <v>229</v>
      </c>
      <c r="LVH77" t="s">
        <v>633</v>
      </c>
      <c r="LVI77" t="s">
        <v>229</v>
      </c>
      <c r="LVJ77" t="s">
        <v>633</v>
      </c>
      <c r="LVK77" t="s">
        <v>229</v>
      </c>
      <c r="LVL77" t="s">
        <v>633</v>
      </c>
      <c r="LVM77" t="s">
        <v>229</v>
      </c>
      <c r="LVN77" t="s">
        <v>633</v>
      </c>
      <c r="LVO77" t="s">
        <v>229</v>
      </c>
      <c r="LVP77" t="s">
        <v>633</v>
      </c>
      <c r="LVQ77" t="s">
        <v>229</v>
      </c>
      <c r="LVR77" t="s">
        <v>633</v>
      </c>
      <c r="LVS77" t="s">
        <v>229</v>
      </c>
      <c r="LVT77" t="s">
        <v>633</v>
      </c>
      <c r="LVU77" t="s">
        <v>229</v>
      </c>
      <c r="LVV77" t="s">
        <v>633</v>
      </c>
      <c r="LVW77" t="s">
        <v>229</v>
      </c>
      <c r="LVX77" t="s">
        <v>633</v>
      </c>
      <c r="LVY77" t="s">
        <v>229</v>
      </c>
      <c r="LVZ77" t="s">
        <v>633</v>
      </c>
      <c r="LWA77" t="s">
        <v>229</v>
      </c>
      <c r="LWB77" t="s">
        <v>633</v>
      </c>
      <c r="LWC77" t="s">
        <v>229</v>
      </c>
      <c r="LWD77" t="s">
        <v>633</v>
      </c>
      <c r="LWE77" t="s">
        <v>229</v>
      </c>
      <c r="LWF77" t="s">
        <v>633</v>
      </c>
      <c r="LWG77" t="s">
        <v>229</v>
      </c>
      <c r="LWH77" t="s">
        <v>633</v>
      </c>
      <c r="LWI77" t="s">
        <v>229</v>
      </c>
      <c r="LWJ77" t="s">
        <v>633</v>
      </c>
      <c r="LWK77" t="s">
        <v>229</v>
      </c>
      <c r="LWL77" t="s">
        <v>633</v>
      </c>
      <c r="LWM77" t="s">
        <v>229</v>
      </c>
      <c r="LWN77" t="s">
        <v>633</v>
      </c>
      <c r="LWO77" t="s">
        <v>229</v>
      </c>
      <c r="LWP77" t="s">
        <v>633</v>
      </c>
      <c r="LWQ77" t="s">
        <v>229</v>
      </c>
      <c r="LWR77" t="s">
        <v>633</v>
      </c>
      <c r="LWS77" t="s">
        <v>229</v>
      </c>
      <c r="LWT77" t="s">
        <v>633</v>
      </c>
      <c r="LWU77" t="s">
        <v>229</v>
      </c>
      <c r="LWV77" t="s">
        <v>633</v>
      </c>
      <c r="LWW77" t="s">
        <v>229</v>
      </c>
      <c r="LWX77" t="s">
        <v>633</v>
      </c>
      <c r="LWY77" t="s">
        <v>229</v>
      </c>
      <c r="LWZ77" t="s">
        <v>633</v>
      </c>
      <c r="LXA77" t="s">
        <v>229</v>
      </c>
      <c r="LXB77" t="s">
        <v>633</v>
      </c>
      <c r="LXC77" t="s">
        <v>229</v>
      </c>
      <c r="LXD77" t="s">
        <v>633</v>
      </c>
      <c r="LXE77" t="s">
        <v>229</v>
      </c>
      <c r="LXF77" t="s">
        <v>633</v>
      </c>
      <c r="LXG77" t="s">
        <v>229</v>
      </c>
      <c r="LXH77" t="s">
        <v>633</v>
      </c>
      <c r="LXI77" t="s">
        <v>229</v>
      </c>
      <c r="LXJ77" t="s">
        <v>633</v>
      </c>
      <c r="LXK77" t="s">
        <v>229</v>
      </c>
      <c r="LXL77" t="s">
        <v>633</v>
      </c>
      <c r="LXM77" t="s">
        <v>229</v>
      </c>
      <c r="LXN77" t="s">
        <v>633</v>
      </c>
      <c r="LXO77" t="s">
        <v>229</v>
      </c>
      <c r="LXP77" t="s">
        <v>633</v>
      </c>
      <c r="LXQ77" t="s">
        <v>229</v>
      </c>
      <c r="LXR77" t="s">
        <v>633</v>
      </c>
      <c r="LXS77" t="s">
        <v>229</v>
      </c>
      <c r="LXT77" t="s">
        <v>633</v>
      </c>
      <c r="LXU77" t="s">
        <v>229</v>
      </c>
      <c r="LXV77" t="s">
        <v>633</v>
      </c>
      <c r="LXW77" t="s">
        <v>229</v>
      </c>
      <c r="LXX77" t="s">
        <v>633</v>
      </c>
      <c r="LXY77" t="s">
        <v>229</v>
      </c>
      <c r="LXZ77" t="s">
        <v>633</v>
      </c>
      <c r="LYA77" t="s">
        <v>229</v>
      </c>
      <c r="LYB77" t="s">
        <v>633</v>
      </c>
      <c r="LYC77" t="s">
        <v>229</v>
      </c>
      <c r="LYD77" t="s">
        <v>633</v>
      </c>
      <c r="LYE77" t="s">
        <v>229</v>
      </c>
      <c r="LYF77" t="s">
        <v>633</v>
      </c>
      <c r="LYG77" t="s">
        <v>229</v>
      </c>
      <c r="LYH77" t="s">
        <v>633</v>
      </c>
      <c r="LYI77" t="s">
        <v>229</v>
      </c>
      <c r="LYJ77" t="s">
        <v>633</v>
      </c>
      <c r="LYK77" t="s">
        <v>229</v>
      </c>
      <c r="LYL77" t="s">
        <v>633</v>
      </c>
      <c r="LYM77" t="s">
        <v>229</v>
      </c>
      <c r="LYN77" t="s">
        <v>633</v>
      </c>
      <c r="LYO77" t="s">
        <v>229</v>
      </c>
      <c r="LYP77" t="s">
        <v>633</v>
      </c>
      <c r="LYQ77" t="s">
        <v>229</v>
      </c>
      <c r="LYR77" t="s">
        <v>633</v>
      </c>
      <c r="LYS77" t="s">
        <v>229</v>
      </c>
      <c r="LYT77" t="s">
        <v>633</v>
      </c>
      <c r="LYU77" t="s">
        <v>229</v>
      </c>
      <c r="LYV77" t="s">
        <v>633</v>
      </c>
      <c r="LYW77" t="s">
        <v>229</v>
      </c>
      <c r="LYX77" t="s">
        <v>633</v>
      </c>
      <c r="LYY77" t="s">
        <v>229</v>
      </c>
      <c r="LYZ77" t="s">
        <v>633</v>
      </c>
      <c r="LZA77" t="s">
        <v>229</v>
      </c>
      <c r="LZB77" t="s">
        <v>633</v>
      </c>
      <c r="LZC77" t="s">
        <v>229</v>
      </c>
      <c r="LZD77" t="s">
        <v>633</v>
      </c>
      <c r="LZE77" t="s">
        <v>229</v>
      </c>
      <c r="LZF77" t="s">
        <v>633</v>
      </c>
      <c r="LZG77" t="s">
        <v>229</v>
      </c>
      <c r="LZH77" t="s">
        <v>633</v>
      </c>
      <c r="LZI77" t="s">
        <v>229</v>
      </c>
      <c r="LZJ77" t="s">
        <v>633</v>
      </c>
      <c r="LZK77" t="s">
        <v>229</v>
      </c>
      <c r="LZL77" t="s">
        <v>633</v>
      </c>
      <c r="LZM77" t="s">
        <v>229</v>
      </c>
      <c r="LZN77" t="s">
        <v>633</v>
      </c>
      <c r="LZO77" t="s">
        <v>229</v>
      </c>
      <c r="LZP77" t="s">
        <v>633</v>
      </c>
      <c r="LZQ77" t="s">
        <v>229</v>
      </c>
      <c r="LZR77" t="s">
        <v>633</v>
      </c>
      <c r="LZS77" t="s">
        <v>229</v>
      </c>
      <c r="LZT77" t="s">
        <v>633</v>
      </c>
      <c r="LZU77" t="s">
        <v>229</v>
      </c>
      <c r="LZV77" t="s">
        <v>633</v>
      </c>
      <c r="LZW77" t="s">
        <v>229</v>
      </c>
      <c r="LZX77" t="s">
        <v>633</v>
      </c>
      <c r="LZY77" t="s">
        <v>229</v>
      </c>
      <c r="LZZ77" t="s">
        <v>633</v>
      </c>
      <c r="MAA77" t="s">
        <v>229</v>
      </c>
      <c r="MAB77" t="s">
        <v>633</v>
      </c>
      <c r="MAC77" t="s">
        <v>229</v>
      </c>
      <c r="MAD77" t="s">
        <v>633</v>
      </c>
      <c r="MAE77" t="s">
        <v>229</v>
      </c>
      <c r="MAF77" t="s">
        <v>633</v>
      </c>
      <c r="MAG77" t="s">
        <v>229</v>
      </c>
      <c r="MAH77" t="s">
        <v>633</v>
      </c>
      <c r="MAI77" t="s">
        <v>229</v>
      </c>
      <c r="MAJ77" t="s">
        <v>633</v>
      </c>
      <c r="MAK77" t="s">
        <v>229</v>
      </c>
      <c r="MAL77" t="s">
        <v>633</v>
      </c>
      <c r="MAM77" t="s">
        <v>229</v>
      </c>
      <c r="MAN77" t="s">
        <v>633</v>
      </c>
      <c r="MAO77" t="s">
        <v>229</v>
      </c>
      <c r="MAP77" t="s">
        <v>633</v>
      </c>
      <c r="MAQ77" t="s">
        <v>229</v>
      </c>
      <c r="MAR77" t="s">
        <v>633</v>
      </c>
      <c r="MAS77" t="s">
        <v>229</v>
      </c>
      <c r="MAT77" t="s">
        <v>633</v>
      </c>
      <c r="MAU77" t="s">
        <v>229</v>
      </c>
      <c r="MAV77" t="s">
        <v>633</v>
      </c>
      <c r="MAW77" t="s">
        <v>229</v>
      </c>
      <c r="MAX77" t="s">
        <v>633</v>
      </c>
      <c r="MAY77" t="s">
        <v>229</v>
      </c>
      <c r="MAZ77" t="s">
        <v>633</v>
      </c>
      <c r="MBA77" t="s">
        <v>229</v>
      </c>
      <c r="MBB77" t="s">
        <v>633</v>
      </c>
      <c r="MBC77" t="s">
        <v>229</v>
      </c>
      <c r="MBD77" t="s">
        <v>633</v>
      </c>
      <c r="MBE77" t="s">
        <v>229</v>
      </c>
      <c r="MBF77" t="s">
        <v>633</v>
      </c>
      <c r="MBG77" t="s">
        <v>229</v>
      </c>
      <c r="MBH77" t="s">
        <v>633</v>
      </c>
      <c r="MBI77" t="s">
        <v>229</v>
      </c>
      <c r="MBJ77" t="s">
        <v>633</v>
      </c>
      <c r="MBK77" t="s">
        <v>229</v>
      </c>
      <c r="MBL77" t="s">
        <v>633</v>
      </c>
      <c r="MBM77" t="s">
        <v>229</v>
      </c>
      <c r="MBN77" t="s">
        <v>633</v>
      </c>
      <c r="MBO77" t="s">
        <v>229</v>
      </c>
      <c r="MBP77" t="s">
        <v>633</v>
      </c>
      <c r="MBQ77" t="s">
        <v>229</v>
      </c>
      <c r="MBR77" t="s">
        <v>633</v>
      </c>
      <c r="MBS77" t="s">
        <v>229</v>
      </c>
      <c r="MBT77" t="s">
        <v>633</v>
      </c>
      <c r="MBU77" t="s">
        <v>229</v>
      </c>
      <c r="MBV77" t="s">
        <v>633</v>
      </c>
      <c r="MBW77" t="s">
        <v>229</v>
      </c>
      <c r="MBX77" t="s">
        <v>633</v>
      </c>
      <c r="MBY77" t="s">
        <v>229</v>
      </c>
      <c r="MBZ77" t="s">
        <v>633</v>
      </c>
      <c r="MCA77" t="s">
        <v>229</v>
      </c>
      <c r="MCB77" t="s">
        <v>633</v>
      </c>
      <c r="MCC77" t="s">
        <v>229</v>
      </c>
      <c r="MCD77" t="s">
        <v>633</v>
      </c>
      <c r="MCE77" t="s">
        <v>229</v>
      </c>
      <c r="MCF77" t="s">
        <v>633</v>
      </c>
      <c r="MCG77" t="s">
        <v>229</v>
      </c>
      <c r="MCH77" t="s">
        <v>633</v>
      </c>
      <c r="MCI77" t="s">
        <v>229</v>
      </c>
      <c r="MCJ77" t="s">
        <v>633</v>
      </c>
      <c r="MCK77" t="s">
        <v>229</v>
      </c>
      <c r="MCL77" t="s">
        <v>633</v>
      </c>
      <c r="MCM77" t="s">
        <v>229</v>
      </c>
      <c r="MCN77" t="s">
        <v>633</v>
      </c>
      <c r="MCO77" t="s">
        <v>229</v>
      </c>
      <c r="MCP77" t="s">
        <v>633</v>
      </c>
      <c r="MCQ77" t="s">
        <v>229</v>
      </c>
      <c r="MCR77" t="s">
        <v>633</v>
      </c>
      <c r="MCS77" t="s">
        <v>229</v>
      </c>
      <c r="MCT77" t="s">
        <v>633</v>
      </c>
      <c r="MCU77" t="s">
        <v>229</v>
      </c>
      <c r="MCV77" t="s">
        <v>633</v>
      </c>
      <c r="MCW77" t="s">
        <v>229</v>
      </c>
      <c r="MCX77" t="s">
        <v>633</v>
      </c>
      <c r="MCY77" t="s">
        <v>229</v>
      </c>
      <c r="MCZ77" t="s">
        <v>633</v>
      </c>
      <c r="MDA77" t="s">
        <v>229</v>
      </c>
      <c r="MDB77" t="s">
        <v>633</v>
      </c>
      <c r="MDC77" t="s">
        <v>229</v>
      </c>
      <c r="MDD77" t="s">
        <v>633</v>
      </c>
      <c r="MDE77" t="s">
        <v>229</v>
      </c>
      <c r="MDF77" t="s">
        <v>633</v>
      </c>
      <c r="MDG77" t="s">
        <v>229</v>
      </c>
      <c r="MDH77" t="s">
        <v>633</v>
      </c>
      <c r="MDI77" t="s">
        <v>229</v>
      </c>
      <c r="MDJ77" t="s">
        <v>633</v>
      </c>
      <c r="MDK77" t="s">
        <v>229</v>
      </c>
      <c r="MDL77" t="s">
        <v>633</v>
      </c>
      <c r="MDM77" t="s">
        <v>229</v>
      </c>
      <c r="MDN77" t="s">
        <v>633</v>
      </c>
      <c r="MDO77" t="s">
        <v>229</v>
      </c>
      <c r="MDP77" t="s">
        <v>633</v>
      </c>
      <c r="MDQ77" t="s">
        <v>229</v>
      </c>
      <c r="MDR77" t="s">
        <v>633</v>
      </c>
      <c r="MDS77" t="s">
        <v>229</v>
      </c>
      <c r="MDT77" t="s">
        <v>633</v>
      </c>
      <c r="MDU77" t="s">
        <v>229</v>
      </c>
      <c r="MDV77" t="s">
        <v>633</v>
      </c>
      <c r="MDW77" t="s">
        <v>229</v>
      </c>
      <c r="MDX77" t="s">
        <v>633</v>
      </c>
      <c r="MDY77" t="s">
        <v>229</v>
      </c>
      <c r="MDZ77" t="s">
        <v>633</v>
      </c>
      <c r="MEA77" t="s">
        <v>229</v>
      </c>
      <c r="MEB77" t="s">
        <v>633</v>
      </c>
      <c r="MEC77" t="s">
        <v>229</v>
      </c>
      <c r="MED77" t="s">
        <v>633</v>
      </c>
      <c r="MEE77" t="s">
        <v>229</v>
      </c>
      <c r="MEF77" t="s">
        <v>633</v>
      </c>
      <c r="MEG77" t="s">
        <v>229</v>
      </c>
      <c r="MEH77" t="s">
        <v>633</v>
      </c>
      <c r="MEI77" t="s">
        <v>229</v>
      </c>
      <c r="MEJ77" t="s">
        <v>633</v>
      </c>
      <c r="MEK77" t="s">
        <v>229</v>
      </c>
      <c r="MEL77" t="s">
        <v>633</v>
      </c>
      <c r="MEM77" t="s">
        <v>229</v>
      </c>
      <c r="MEN77" t="s">
        <v>633</v>
      </c>
      <c r="MEO77" t="s">
        <v>229</v>
      </c>
      <c r="MEP77" t="s">
        <v>633</v>
      </c>
      <c r="MEQ77" t="s">
        <v>229</v>
      </c>
      <c r="MER77" t="s">
        <v>633</v>
      </c>
      <c r="MES77" t="s">
        <v>229</v>
      </c>
      <c r="MET77" t="s">
        <v>633</v>
      </c>
      <c r="MEU77" t="s">
        <v>229</v>
      </c>
      <c r="MEV77" t="s">
        <v>633</v>
      </c>
      <c r="MEW77" t="s">
        <v>229</v>
      </c>
      <c r="MEX77" t="s">
        <v>633</v>
      </c>
      <c r="MEY77" t="s">
        <v>229</v>
      </c>
      <c r="MEZ77" t="s">
        <v>633</v>
      </c>
      <c r="MFA77" t="s">
        <v>229</v>
      </c>
      <c r="MFB77" t="s">
        <v>633</v>
      </c>
      <c r="MFC77" t="s">
        <v>229</v>
      </c>
      <c r="MFD77" t="s">
        <v>633</v>
      </c>
      <c r="MFE77" t="s">
        <v>229</v>
      </c>
      <c r="MFF77" t="s">
        <v>633</v>
      </c>
      <c r="MFG77" t="s">
        <v>229</v>
      </c>
      <c r="MFH77" t="s">
        <v>633</v>
      </c>
      <c r="MFI77" t="s">
        <v>229</v>
      </c>
      <c r="MFJ77" t="s">
        <v>633</v>
      </c>
      <c r="MFK77" t="s">
        <v>229</v>
      </c>
      <c r="MFL77" t="s">
        <v>633</v>
      </c>
      <c r="MFM77" t="s">
        <v>229</v>
      </c>
      <c r="MFN77" t="s">
        <v>633</v>
      </c>
      <c r="MFO77" t="s">
        <v>229</v>
      </c>
      <c r="MFP77" t="s">
        <v>633</v>
      </c>
      <c r="MFQ77" t="s">
        <v>229</v>
      </c>
      <c r="MFR77" t="s">
        <v>633</v>
      </c>
      <c r="MFS77" t="s">
        <v>229</v>
      </c>
      <c r="MFT77" t="s">
        <v>633</v>
      </c>
      <c r="MFU77" t="s">
        <v>229</v>
      </c>
      <c r="MFV77" t="s">
        <v>633</v>
      </c>
      <c r="MFW77" t="s">
        <v>229</v>
      </c>
      <c r="MFX77" t="s">
        <v>633</v>
      </c>
      <c r="MFY77" t="s">
        <v>229</v>
      </c>
      <c r="MFZ77" t="s">
        <v>633</v>
      </c>
      <c r="MGA77" t="s">
        <v>229</v>
      </c>
      <c r="MGB77" t="s">
        <v>633</v>
      </c>
      <c r="MGC77" t="s">
        <v>229</v>
      </c>
      <c r="MGD77" t="s">
        <v>633</v>
      </c>
      <c r="MGE77" t="s">
        <v>229</v>
      </c>
      <c r="MGF77" t="s">
        <v>633</v>
      </c>
      <c r="MGG77" t="s">
        <v>229</v>
      </c>
      <c r="MGH77" t="s">
        <v>633</v>
      </c>
      <c r="MGI77" t="s">
        <v>229</v>
      </c>
      <c r="MGJ77" t="s">
        <v>633</v>
      </c>
      <c r="MGK77" t="s">
        <v>229</v>
      </c>
      <c r="MGL77" t="s">
        <v>633</v>
      </c>
      <c r="MGM77" t="s">
        <v>229</v>
      </c>
      <c r="MGN77" t="s">
        <v>633</v>
      </c>
      <c r="MGO77" t="s">
        <v>229</v>
      </c>
      <c r="MGP77" t="s">
        <v>633</v>
      </c>
      <c r="MGQ77" t="s">
        <v>229</v>
      </c>
      <c r="MGR77" t="s">
        <v>633</v>
      </c>
      <c r="MGS77" t="s">
        <v>229</v>
      </c>
      <c r="MGT77" t="s">
        <v>633</v>
      </c>
      <c r="MGU77" t="s">
        <v>229</v>
      </c>
      <c r="MGV77" t="s">
        <v>633</v>
      </c>
      <c r="MGW77" t="s">
        <v>229</v>
      </c>
      <c r="MGX77" t="s">
        <v>633</v>
      </c>
      <c r="MGY77" t="s">
        <v>229</v>
      </c>
      <c r="MGZ77" t="s">
        <v>633</v>
      </c>
      <c r="MHA77" t="s">
        <v>229</v>
      </c>
      <c r="MHB77" t="s">
        <v>633</v>
      </c>
      <c r="MHC77" t="s">
        <v>229</v>
      </c>
      <c r="MHD77" t="s">
        <v>633</v>
      </c>
      <c r="MHE77" t="s">
        <v>229</v>
      </c>
      <c r="MHF77" t="s">
        <v>633</v>
      </c>
      <c r="MHG77" t="s">
        <v>229</v>
      </c>
      <c r="MHH77" t="s">
        <v>633</v>
      </c>
      <c r="MHI77" t="s">
        <v>229</v>
      </c>
      <c r="MHJ77" t="s">
        <v>633</v>
      </c>
      <c r="MHK77" t="s">
        <v>229</v>
      </c>
      <c r="MHL77" t="s">
        <v>633</v>
      </c>
      <c r="MHM77" t="s">
        <v>229</v>
      </c>
      <c r="MHN77" t="s">
        <v>633</v>
      </c>
      <c r="MHO77" t="s">
        <v>229</v>
      </c>
      <c r="MHP77" t="s">
        <v>633</v>
      </c>
      <c r="MHQ77" t="s">
        <v>229</v>
      </c>
      <c r="MHR77" t="s">
        <v>633</v>
      </c>
      <c r="MHS77" t="s">
        <v>229</v>
      </c>
      <c r="MHT77" t="s">
        <v>633</v>
      </c>
      <c r="MHU77" t="s">
        <v>229</v>
      </c>
      <c r="MHV77" t="s">
        <v>633</v>
      </c>
      <c r="MHW77" t="s">
        <v>229</v>
      </c>
      <c r="MHX77" t="s">
        <v>633</v>
      </c>
      <c r="MHY77" t="s">
        <v>229</v>
      </c>
      <c r="MHZ77" t="s">
        <v>633</v>
      </c>
      <c r="MIA77" t="s">
        <v>229</v>
      </c>
      <c r="MIB77" t="s">
        <v>633</v>
      </c>
      <c r="MIC77" t="s">
        <v>229</v>
      </c>
      <c r="MID77" t="s">
        <v>633</v>
      </c>
      <c r="MIE77" t="s">
        <v>229</v>
      </c>
      <c r="MIF77" t="s">
        <v>633</v>
      </c>
      <c r="MIG77" t="s">
        <v>229</v>
      </c>
      <c r="MIH77" t="s">
        <v>633</v>
      </c>
      <c r="MII77" t="s">
        <v>229</v>
      </c>
      <c r="MIJ77" t="s">
        <v>633</v>
      </c>
      <c r="MIK77" t="s">
        <v>229</v>
      </c>
      <c r="MIL77" t="s">
        <v>633</v>
      </c>
      <c r="MIM77" t="s">
        <v>229</v>
      </c>
      <c r="MIN77" t="s">
        <v>633</v>
      </c>
      <c r="MIO77" t="s">
        <v>229</v>
      </c>
      <c r="MIP77" t="s">
        <v>633</v>
      </c>
      <c r="MIQ77" t="s">
        <v>229</v>
      </c>
      <c r="MIR77" t="s">
        <v>633</v>
      </c>
      <c r="MIS77" t="s">
        <v>229</v>
      </c>
      <c r="MIT77" t="s">
        <v>633</v>
      </c>
      <c r="MIU77" t="s">
        <v>229</v>
      </c>
      <c r="MIV77" t="s">
        <v>633</v>
      </c>
      <c r="MIW77" t="s">
        <v>229</v>
      </c>
      <c r="MIX77" t="s">
        <v>633</v>
      </c>
      <c r="MIY77" t="s">
        <v>229</v>
      </c>
      <c r="MIZ77" t="s">
        <v>633</v>
      </c>
      <c r="MJA77" t="s">
        <v>229</v>
      </c>
      <c r="MJB77" t="s">
        <v>633</v>
      </c>
      <c r="MJC77" t="s">
        <v>229</v>
      </c>
      <c r="MJD77" t="s">
        <v>633</v>
      </c>
      <c r="MJE77" t="s">
        <v>229</v>
      </c>
      <c r="MJF77" t="s">
        <v>633</v>
      </c>
      <c r="MJG77" t="s">
        <v>229</v>
      </c>
      <c r="MJH77" t="s">
        <v>633</v>
      </c>
      <c r="MJI77" t="s">
        <v>229</v>
      </c>
      <c r="MJJ77" t="s">
        <v>633</v>
      </c>
      <c r="MJK77" t="s">
        <v>229</v>
      </c>
      <c r="MJL77" t="s">
        <v>633</v>
      </c>
      <c r="MJM77" t="s">
        <v>229</v>
      </c>
      <c r="MJN77" t="s">
        <v>633</v>
      </c>
      <c r="MJO77" t="s">
        <v>229</v>
      </c>
      <c r="MJP77" t="s">
        <v>633</v>
      </c>
      <c r="MJQ77" t="s">
        <v>229</v>
      </c>
      <c r="MJR77" t="s">
        <v>633</v>
      </c>
      <c r="MJS77" t="s">
        <v>229</v>
      </c>
      <c r="MJT77" t="s">
        <v>633</v>
      </c>
      <c r="MJU77" t="s">
        <v>229</v>
      </c>
      <c r="MJV77" t="s">
        <v>633</v>
      </c>
      <c r="MJW77" t="s">
        <v>229</v>
      </c>
      <c r="MJX77" t="s">
        <v>633</v>
      </c>
      <c r="MJY77" t="s">
        <v>229</v>
      </c>
      <c r="MJZ77" t="s">
        <v>633</v>
      </c>
      <c r="MKA77" t="s">
        <v>229</v>
      </c>
      <c r="MKB77" t="s">
        <v>633</v>
      </c>
      <c r="MKC77" t="s">
        <v>229</v>
      </c>
      <c r="MKD77" t="s">
        <v>633</v>
      </c>
      <c r="MKE77" t="s">
        <v>229</v>
      </c>
      <c r="MKF77" t="s">
        <v>633</v>
      </c>
      <c r="MKG77" t="s">
        <v>229</v>
      </c>
      <c r="MKH77" t="s">
        <v>633</v>
      </c>
      <c r="MKI77" t="s">
        <v>229</v>
      </c>
      <c r="MKJ77" t="s">
        <v>633</v>
      </c>
      <c r="MKK77" t="s">
        <v>229</v>
      </c>
      <c r="MKL77" t="s">
        <v>633</v>
      </c>
      <c r="MKM77" t="s">
        <v>229</v>
      </c>
      <c r="MKN77" t="s">
        <v>633</v>
      </c>
      <c r="MKO77" t="s">
        <v>229</v>
      </c>
      <c r="MKP77" t="s">
        <v>633</v>
      </c>
      <c r="MKQ77" t="s">
        <v>229</v>
      </c>
      <c r="MKR77" t="s">
        <v>633</v>
      </c>
      <c r="MKS77" t="s">
        <v>229</v>
      </c>
      <c r="MKT77" t="s">
        <v>633</v>
      </c>
      <c r="MKU77" t="s">
        <v>229</v>
      </c>
      <c r="MKV77" t="s">
        <v>633</v>
      </c>
      <c r="MKW77" t="s">
        <v>229</v>
      </c>
      <c r="MKX77" t="s">
        <v>633</v>
      </c>
      <c r="MKY77" t="s">
        <v>229</v>
      </c>
      <c r="MKZ77" t="s">
        <v>633</v>
      </c>
      <c r="MLA77" t="s">
        <v>229</v>
      </c>
      <c r="MLB77" t="s">
        <v>633</v>
      </c>
      <c r="MLC77" t="s">
        <v>229</v>
      </c>
      <c r="MLD77" t="s">
        <v>633</v>
      </c>
      <c r="MLE77" t="s">
        <v>229</v>
      </c>
      <c r="MLF77" t="s">
        <v>633</v>
      </c>
      <c r="MLG77" t="s">
        <v>229</v>
      </c>
      <c r="MLH77" t="s">
        <v>633</v>
      </c>
      <c r="MLI77" t="s">
        <v>229</v>
      </c>
      <c r="MLJ77" t="s">
        <v>633</v>
      </c>
      <c r="MLK77" t="s">
        <v>229</v>
      </c>
      <c r="MLL77" t="s">
        <v>633</v>
      </c>
      <c r="MLM77" t="s">
        <v>229</v>
      </c>
      <c r="MLN77" t="s">
        <v>633</v>
      </c>
      <c r="MLO77" t="s">
        <v>229</v>
      </c>
      <c r="MLP77" t="s">
        <v>633</v>
      </c>
      <c r="MLQ77" t="s">
        <v>229</v>
      </c>
      <c r="MLR77" t="s">
        <v>633</v>
      </c>
      <c r="MLS77" t="s">
        <v>229</v>
      </c>
      <c r="MLT77" t="s">
        <v>633</v>
      </c>
      <c r="MLU77" t="s">
        <v>229</v>
      </c>
      <c r="MLV77" t="s">
        <v>633</v>
      </c>
      <c r="MLW77" t="s">
        <v>229</v>
      </c>
      <c r="MLX77" t="s">
        <v>633</v>
      </c>
      <c r="MLY77" t="s">
        <v>229</v>
      </c>
      <c r="MLZ77" t="s">
        <v>633</v>
      </c>
      <c r="MMA77" t="s">
        <v>229</v>
      </c>
      <c r="MMB77" t="s">
        <v>633</v>
      </c>
      <c r="MMC77" t="s">
        <v>229</v>
      </c>
      <c r="MMD77" t="s">
        <v>633</v>
      </c>
      <c r="MME77" t="s">
        <v>229</v>
      </c>
      <c r="MMF77" t="s">
        <v>633</v>
      </c>
      <c r="MMG77" t="s">
        <v>229</v>
      </c>
      <c r="MMH77" t="s">
        <v>633</v>
      </c>
      <c r="MMI77" t="s">
        <v>229</v>
      </c>
      <c r="MMJ77" t="s">
        <v>633</v>
      </c>
      <c r="MMK77" t="s">
        <v>229</v>
      </c>
      <c r="MML77" t="s">
        <v>633</v>
      </c>
      <c r="MMM77" t="s">
        <v>229</v>
      </c>
      <c r="MMN77" t="s">
        <v>633</v>
      </c>
      <c r="MMO77" t="s">
        <v>229</v>
      </c>
      <c r="MMP77" t="s">
        <v>633</v>
      </c>
      <c r="MMQ77" t="s">
        <v>229</v>
      </c>
      <c r="MMR77" t="s">
        <v>633</v>
      </c>
      <c r="MMS77" t="s">
        <v>229</v>
      </c>
      <c r="MMT77" t="s">
        <v>633</v>
      </c>
      <c r="MMU77" t="s">
        <v>229</v>
      </c>
      <c r="MMV77" t="s">
        <v>633</v>
      </c>
      <c r="MMW77" t="s">
        <v>229</v>
      </c>
      <c r="MMX77" t="s">
        <v>633</v>
      </c>
      <c r="MMY77" t="s">
        <v>229</v>
      </c>
      <c r="MMZ77" t="s">
        <v>633</v>
      </c>
      <c r="MNA77" t="s">
        <v>229</v>
      </c>
      <c r="MNB77" t="s">
        <v>633</v>
      </c>
      <c r="MNC77" t="s">
        <v>229</v>
      </c>
      <c r="MND77" t="s">
        <v>633</v>
      </c>
      <c r="MNE77" t="s">
        <v>229</v>
      </c>
      <c r="MNF77" t="s">
        <v>633</v>
      </c>
      <c r="MNG77" t="s">
        <v>229</v>
      </c>
      <c r="MNH77" t="s">
        <v>633</v>
      </c>
      <c r="MNI77" t="s">
        <v>229</v>
      </c>
      <c r="MNJ77" t="s">
        <v>633</v>
      </c>
      <c r="MNK77" t="s">
        <v>229</v>
      </c>
      <c r="MNL77" t="s">
        <v>633</v>
      </c>
      <c r="MNM77" t="s">
        <v>229</v>
      </c>
      <c r="MNN77" t="s">
        <v>633</v>
      </c>
      <c r="MNO77" t="s">
        <v>229</v>
      </c>
      <c r="MNP77" t="s">
        <v>633</v>
      </c>
      <c r="MNQ77" t="s">
        <v>229</v>
      </c>
      <c r="MNR77" t="s">
        <v>633</v>
      </c>
      <c r="MNS77" t="s">
        <v>229</v>
      </c>
      <c r="MNT77" t="s">
        <v>633</v>
      </c>
      <c r="MNU77" t="s">
        <v>229</v>
      </c>
      <c r="MNV77" t="s">
        <v>633</v>
      </c>
      <c r="MNW77" t="s">
        <v>229</v>
      </c>
      <c r="MNX77" t="s">
        <v>633</v>
      </c>
      <c r="MNY77" t="s">
        <v>229</v>
      </c>
      <c r="MNZ77" t="s">
        <v>633</v>
      </c>
      <c r="MOA77" t="s">
        <v>229</v>
      </c>
      <c r="MOB77" t="s">
        <v>633</v>
      </c>
      <c r="MOC77" t="s">
        <v>229</v>
      </c>
      <c r="MOD77" t="s">
        <v>633</v>
      </c>
      <c r="MOE77" t="s">
        <v>229</v>
      </c>
      <c r="MOF77" t="s">
        <v>633</v>
      </c>
      <c r="MOG77" t="s">
        <v>229</v>
      </c>
      <c r="MOH77" t="s">
        <v>633</v>
      </c>
      <c r="MOI77" t="s">
        <v>229</v>
      </c>
      <c r="MOJ77" t="s">
        <v>633</v>
      </c>
      <c r="MOK77" t="s">
        <v>229</v>
      </c>
      <c r="MOL77" t="s">
        <v>633</v>
      </c>
      <c r="MOM77" t="s">
        <v>229</v>
      </c>
      <c r="MON77" t="s">
        <v>633</v>
      </c>
      <c r="MOO77" t="s">
        <v>229</v>
      </c>
      <c r="MOP77" t="s">
        <v>633</v>
      </c>
      <c r="MOQ77" t="s">
        <v>229</v>
      </c>
      <c r="MOR77" t="s">
        <v>633</v>
      </c>
      <c r="MOS77" t="s">
        <v>229</v>
      </c>
      <c r="MOT77" t="s">
        <v>633</v>
      </c>
      <c r="MOU77" t="s">
        <v>229</v>
      </c>
      <c r="MOV77" t="s">
        <v>633</v>
      </c>
      <c r="MOW77" t="s">
        <v>229</v>
      </c>
      <c r="MOX77" t="s">
        <v>633</v>
      </c>
      <c r="MOY77" t="s">
        <v>229</v>
      </c>
      <c r="MOZ77" t="s">
        <v>633</v>
      </c>
      <c r="MPA77" t="s">
        <v>229</v>
      </c>
      <c r="MPB77" t="s">
        <v>633</v>
      </c>
      <c r="MPC77" t="s">
        <v>229</v>
      </c>
      <c r="MPD77" t="s">
        <v>633</v>
      </c>
      <c r="MPE77" t="s">
        <v>229</v>
      </c>
      <c r="MPF77" t="s">
        <v>633</v>
      </c>
      <c r="MPG77" t="s">
        <v>229</v>
      </c>
      <c r="MPH77" t="s">
        <v>633</v>
      </c>
      <c r="MPI77" t="s">
        <v>229</v>
      </c>
      <c r="MPJ77" t="s">
        <v>633</v>
      </c>
      <c r="MPK77" t="s">
        <v>229</v>
      </c>
      <c r="MPL77" t="s">
        <v>633</v>
      </c>
      <c r="MPM77" t="s">
        <v>229</v>
      </c>
      <c r="MPN77" t="s">
        <v>633</v>
      </c>
      <c r="MPO77" t="s">
        <v>229</v>
      </c>
      <c r="MPP77" t="s">
        <v>633</v>
      </c>
      <c r="MPQ77" t="s">
        <v>229</v>
      </c>
      <c r="MPR77" t="s">
        <v>633</v>
      </c>
      <c r="MPS77" t="s">
        <v>229</v>
      </c>
      <c r="MPT77" t="s">
        <v>633</v>
      </c>
      <c r="MPU77" t="s">
        <v>229</v>
      </c>
      <c r="MPV77" t="s">
        <v>633</v>
      </c>
      <c r="MPW77" t="s">
        <v>229</v>
      </c>
      <c r="MPX77" t="s">
        <v>633</v>
      </c>
      <c r="MPY77" t="s">
        <v>229</v>
      </c>
      <c r="MPZ77" t="s">
        <v>633</v>
      </c>
      <c r="MQA77" t="s">
        <v>229</v>
      </c>
      <c r="MQB77" t="s">
        <v>633</v>
      </c>
      <c r="MQC77" t="s">
        <v>229</v>
      </c>
      <c r="MQD77" t="s">
        <v>633</v>
      </c>
      <c r="MQE77" t="s">
        <v>229</v>
      </c>
      <c r="MQF77" t="s">
        <v>633</v>
      </c>
      <c r="MQG77" t="s">
        <v>229</v>
      </c>
      <c r="MQH77" t="s">
        <v>633</v>
      </c>
      <c r="MQI77" t="s">
        <v>229</v>
      </c>
      <c r="MQJ77" t="s">
        <v>633</v>
      </c>
      <c r="MQK77" t="s">
        <v>229</v>
      </c>
      <c r="MQL77" t="s">
        <v>633</v>
      </c>
      <c r="MQM77" t="s">
        <v>229</v>
      </c>
      <c r="MQN77" t="s">
        <v>633</v>
      </c>
      <c r="MQO77" t="s">
        <v>229</v>
      </c>
      <c r="MQP77" t="s">
        <v>633</v>
      </c>
      <c r="MQQ77" t="s">
        <v>229</v>
      </c>
      <c r="MQR77" t="s">
        <v>633</v>
      </c>
      <c r="MQS77" t="s">
        <v>229</v>
      </c>
      <c r="MQT77" t="s">
        <v>633</v>
      </c>
      <c r="MQU77" t="s">
        <v>229</v>
      </c>
      <c r="MQV77" t="s">
        <v>633</v>
      </c>
      <c r="MQW77" t="s">
        <v>229</v>
      </c>
      <c r="MQX77" t="s">
        <v>633</v>
      </c>
      <c r="MQY77" t="s">
        <v>229</v>
      </c>
      <c r="MQZ77" t="s">
        <v>633</v>
      </c>
      <c r="MRA77" t="s">
        <v>229</v>
      </c>
      <c r="MRB77" t="s">
        <v>633</v>
      </c>
      <c r="MRC77" t="s">
        <v>229</v>
      </c>
      <c r="MRD77" t="s">
        <v>633</v>
      </c>
      <c r="MRE77" t="s">
        <v>229</v>
      </c>
      <c r="MRF77" t="s">
        <v>633</v>
      </c>
      <c r="MRG77" t="s">
        <v>229</v>
      </c>
      <c r="MRH77" t="s">
        <v>633</v>
      </c>
      <c r="MRI77" t="s">
        <v>229</v>
      </c>
      <c r="MRJ77" t="s">
        <v>633</v>
      </c>
      <c r="MRK77" t="s">
        <v>229</v>
      </c>
      <c r="MRL77" t="s">
        <v>633</v>
      </c>
      <c r="MRM77" t="s">
        <v>229</v>
      </c>
      <c r="MRN77" t="s">
        <v>633</v>
      </c>
      <c r="MRO77" t="s">
        <v>229</v>
      </c>
      <c r="MRP77" t="s">
        <v>633</v>
      </c>
      <c r="MRQ77" t="s">
        <v>229</v>
      </c>
      <c r="MRR77" t="s">
        <v>633</v>
      </c>
      <c r="MRS77" t="s">
        <v>229</v>
      </c>
      <c r="MRT77" t="s">
        <v>633</v>
      </c>
      <c r="MRU77" t="s">
        <v>229</v>
      </c>
      <c r="MRV77" t="s">
        <v>633</v>
      </c>
      <c r="MRW77" t="s">
        <v>229</v>
      </c>
      <c r="MRX77" t="s">
        <v>633</v>
      </c>
      <c r="MRY77" t="s">
        <v>229</v>
      </c>
      <c r="MRZ77" t="s">
        <v>633</v>
      </c>
      <c r="MSA77" t="s">
        <v>229</v>
      </c>
      <c r="MSB77" t="s">
        <v>633</v>
      </c>
      <c r="MSC77" t="s">
        <v>229</v>
      </c>
      <c r="MSD77" t="s">
        <v>633</v>
      </c>
      <c r="MSE77" t="s">
        <v>229</v>
      </c>
      <c r="MSF77" t="s">
        <v>633</v>
      </c>
      <c r="MSG77" t="s">
        <v>229</v>
      </c>
      <c r="MSH77" t="s">
        <v>633</v>
      </c>
      <c r="MSI77" t="s">
        <v>229</v>
      </c>
      <c r="MSJ77" t="s">
        <v>633</v>
      </c>
      <c r="MSK77" t="s">
        <v>229</v>
      </c>
      <c r="MSL77" t="s">
        <v>633</v>
      </c>
      <c r="MSM77" t="s">
        <v>229</v>
      </c>
      <c r="MSN77" t="s">
        <v>633</v>
      </c>
      <c r="MSO77" t="s">
        <v>229</v>
      </c>
      <c r="MSP77" t="s">
        <v>633</v>
      </c>
      <c r="MSQ77" t="s">
        <v>229</v>
      </c>
      <c r="MSR77" t="s">
        <v>633</v>
      </c>
      <c r="MSS77" t="s">
        <v>229</v>
      </c>
      <c r="MST77" t="s">
        <v>633</v>
      </c>
      <c r="MSU77" t="s">
        <v>229</v>
      </c>
      <c r="MSV77" t="s">
        <v>633</v>
      </c>
      <c r="MSW77" t="s">
        <v>229</v>
      </c>
      <c r="MSX77" t="s">
        <v>633</v>
      </c>
      <c r="MSY77" t="s">
        <v>229</v>
      </c>
      <c r="MSZ77" t="s">
        <v>633</v>
      </c>
      <c r="MTA77" t="s">
        <v>229</v>
      </c>
      <c r="MTB77" t="s">
        <v>633</v>
      </c>
      <c r="MTC77" t="s">
        <v>229</v>
      </c>
      <c r="MTD77" t="s">
        <v>633</v>
      </c>
      <c r="MTE77" t="s">
        <v>229</v>
      </c>
      <c r="MTF77" t="s">
        <v>633</v>
      </c>
      <c r="MTG77" t="s">
        <v>229</v>
      </c>
      <c r="MTH77" t="s">
        <v>633</v>
      </c>
      <c r="MTI77" t="s">
        <v>229</v>
      </c>
      <c r="MTJ77" t="s">
        <v>633</v>
      </c>
      <c r="MTK77" t="s">
        <v>229</v>
      </c>
      <c r="MTL77" t="s">
        <v>633</v>
      </c>
      <c r="MTM77" t="s">
        <v>229</v>
      </c>
      <c r="MTN77" t="s">
        <v>633</v>
      </c>
      <c r="MTO77" t="s">
        <v>229</v>
      </c>
      <c r="MTP77" t="s">
        <v>633</v>
      </c>
      <c r="MTQ77" t="s">
        <v>229</v>
      </c>
      <c r="MTR77" t="s">
        <v>633</v>
      </c>
      <c r="MTS77" t="s">
        <v>229</v>
      </c>
      <c r="MTT77" t="s">
        <v>633</v>
      </c>
      <c r="MTU77" t="s">
        <v>229</v>
      </c>
      <c r="MTV77" t="s">
        <v>633</v>
      </c>
      <c r="MTW77" t="s">
        <v>229</v>
      </c>
      <c r="MTX77" t="s">
        <v>633</v>
      </c>
      <c r="MTY77" t="s">
        <v>229</v>
      </c>
      <c r="MTZ77" t="s">
        <v>633</v>
      </c>
      <c r="MUA77" t="s">
        <v>229</v>
      </c>
      <c r="MUB77" t="s">
        <v>633</v>
      </c>
      <c r="MUC77" t="s">
        <v>229</v>
      </c>
      <c r="MUD77" t="s">
        <v>633</v>
      </c>
      <c r="MUE77" t="s">
        <v>229</v>
      </c>
      <c r="MUF77" t="s">
        <v>633</v>
      </c>
      <c r="MUG77" t="s">
        <v>229</v>
      </c>
      <c r="MUH77" t="s">
        <v>633</v>
      </c>
      <c r="MUI77" t="s">
        <v>229</v>
      </c>
      <c r="MUJ77" t="s">
        <v>633</v>
      </c>
      <c r="MUK77" t="s">
        <v>229</v>
      </c>
      <c r="MUL77" t="s">
        <v>633</v>
      </c>
      <c r="MUM77" t="s">
        <v>229</v>
      </c>
      <c r="MUN77" t="s">
        <v>633</v>
      </c>
      <c r="MUO77" t="s">
        <v>229</v>
      </c>
      <c r="MUP77" t="s">
        <v>633</v>
      </c>
      <c r="MUQ77" t="s">
        <v>229</v>
      </c>
      <c r="MUR77" t="s">
        <v>633</v>
      </c>
      <c r="MUS77" t="s">
        <v>229</v>
      </c>
      <c r="MUT77" t="s">
        <v>633</v>
      </c>
      <c r="MUU77" t="s">
        <v>229</v>
      </c>
      <c r="MUV77" t="s">
        <v>633</v>
      </c>
      <c r="MUW77" t="s">
        <v>229</v>
      </c>
      <c r="MUX77" t="s">
        <v>633</v>
      </c>
      <c r="MUY77" t="s">
        <v>229</v>
      </c>
      <c r="MUZ77" t="s">
        <v>633</v>
      </c>
      <c r="MVA77" t="s">
        <v>229</v>
      </c>
      <c r="MVB77" t="s">
        <v>633</v>
      </c>
      <c r="MVC77" t="s">
        <v>229</v>
      </c>
      <c r="MVD77" t="s">
        <v>633</v>
      </c>
      <c r="MVE77" t="s">
        <v>229</v>
      </c>
      <c r="MVF77" t="s">
        <v>633</v>
      </c>
      <c r="MVG77" t="s">
        <v>229</v>
      </c>
      <c r="MVH77" t="s">
        <v>633</v>
      </c>
      <c r="MVI77" t="s">
        <v>229</v>
      </c>
      <c r="MVJ77" t="s">
        <v>633</v>
      </c>
      <c r="MVK77" t="s">
        <v>229</v>
      </c>
      <c r="MVL77" t="s">
        <v>633</v>
      </c>
      <c r="MVM77" t="s">
        <v>229</v>
      </c>
      <c r="MVN77" t="s">
        <v>633</v>
      </c>
      <c r="MVO77" t="s">
        <v>229</v>
      </c>
      <c r="MVP77" t="s">
        <v>633</v>
      </c>
      <c r="MVQ77" t="s">
        <v>229</v>
      </c>
      <c r="MVR77" t="s">
        <v>633</v>
      </c>
      <c r="MVS77" t="s">
        <v>229</v>
      </c>
      <c r="MVT77" t="s">
        <v>633</v>
      </c>
      <c r="MVU77" t="s">
        <v>229</v>
      </c>
      <c r="MVV77" t="s">
        <v>633</v>
      </c>
      <c r="MVW77" t="s">
        <v>229</v>
      </c>
      <c r="MVX77" t="s">
        <v>633</v>
      </c>
      <c r="MVY77" t="s">
        <v>229</v>
      </c>
      <c r="MVZ77" t="s">
        <v>633</v>
      </c>
      <c r="MWA77" t="s">
        <v>229</v>
      </c>
      <c r="MWB77" t="s">
        <v>633</v>
      </c>
      <c r="MWC77" t="s">
        <v>229</v>
      </c>
      <c r="MWD77" t="s">
        <v>633</v>
      </c>
      <c r="MWE77" t="s">
        <v>229</v>
      </c>
      <c r="MWF77" t="s">
        <v>633</v>
      </c>
      <c r="MWG77" t="s">
        <v>229</v>
      </c>
      <c r="MWH77" t="s">
        <v>633</v>
      </c>
      <c r="MWI77" t="s">
        <v>229</v>
      </c>
      <c r="MWJ77" t="s">
        <v>633</v>
      </c>
      <c r="MWK77" t="s">
        <v>229</v>
      </c>
      <c r="MWL77" t="s">
        <v>633</v>
      </c>
      <c r="MWM77" t="s">
        <v>229</v>
      </c>
      <c r="MWN77" t="s">
        <v>633</v>
      </c>
      <c r="MWO77" t="s">
        <v>229</v>
      </c>
      <c r="MWP77" t="s">
        <v>633</v>
      </c>
      <c r="MWQ77" t="s">
        <v>229</v>
      </c>
      <c r="MWR77" t="s">
        <v>633</v>
      </c>
      <c r="MWS77" t="s">
        <v>229</v>
      </c>
      <c r="MWT77" t="s">
        <v>633</v>
      </c>
      <c r="MWU77" t="s">
        <v>229</v>
      </c>
      <c r="MWV77" t="s">
        <v>633</v>
      </c>
      <c r="MWW77" t="s">
        <v>229</v>
      </c>
      <c r="MWX77" t="s">
        <v>633</v>
      </c>
      <c r="MWY77" t="s">
        <v>229</v>
      </c>
      <c r="MWZ77" t="s">
        <v>633</v>
      </c>
      <c r="MXA77" t="s">
        <v>229</v>
      </c>
      <c r="MXB77" t="s">
        <v>633</v>
      </c>
      <c r="MXC77" t="s">
        <v>229</v>
      </c>
      <c r="MXD77" t="s">
        <v>633</v>
      </c>
      <c r="MXE77" t="s">
        <v>229</v>
      </c>
      <c r="MXF77" t="s">
        <v>633</v>
      </c>
      <c r="MXG77" t="s">
        <v>229</v>
      </c>
      <c r="MXH77" t="s">
        <v>633</v>
      </c>
      <c r="MXI77" t="s">
        <v>229</v>
      </c>
      <c r="MXJ77" t="s">
        <v>633</v>
      </c>
      <c r="MXK77" t="s">
        <v>229</v>
      </c>
      <c r="MXL77" t="s">
        <v>633</v>
      </c>
      <c r="MXM77" t="s">
        <v>229</v>
      </c>
      <c r="MXN77" t="s">
        <v>633</v>
      </c>
      <c r="MXO77" t="s">
        <v>229</v>
      </c>
      <c r="MXP77" t="s">
        <v>633</v>
      </c>
      <c r="MXQ77" t="s">
        <v>229</v>
      </c>
      <c r="MXR77" t="s">
        <v>633</v>
      </c>
      <c r="MXS77" t="s">
        <v>229</v>
      </c>
      <c r="MXT77" t="s">
        <v>633</v>
      </c>
      <c r="MXU77" t="s">
        <v>229</v>
      </c>
      <c r="MXV77" t="s">
        <v>633</v>
      </c>
      <c r="MXW77" t="s">
        <v>229</v>
      </c>
      <c r="MXX77" t="s">
        <v>633</v>
      </c>
      <c r="MXY77" t="s">
        <v>229</v>
      </c>
      <c r="MXZ77" t="s">
        <v>633</v>
      </c>
      <c r="MYA77" t="s">
        <v>229</v>
      </c>
      <c r="MYB77" t="s">
        <v>633</v>
      </c>
      <c r="MYC77" t="s">
        <v>229</v>
      </c>
      <c r="MYD77" t="s">
        <v>633</v>
      </c>
      <c r="MYE77" t="s">
        <v>229</v>
      </c>
      <c r="MYF77" t="s">
        <v>633</v>
      </c>
      <c r="MYG77" t="s">
        <v>229</v>
      </c>
      <c r="MYH77" t="s">
        <v>633</v>
      </c>
      <c r="MYI77" t="s">
        <v>229</v>
      </c>
      <c r="MYJ77" t="s">
        <v>633</v>
      </c>
      <c r="MYK77" t="s">
        <v>229</v>
      </c>
      <c r="MYL77" t="s">
        <v>633</v>
      </c>
      <c r="MYM77" t="s">
        <v>229</v>
      </c>
      <c r="MYN77" t="s">
        <v>633</v>
      </c>
      <c r="MYO77" t="s">
        <v>229</v>
      </c>
      <c r="MYP77" t="s">
        <v>633</v>
      </c>
      <c r="MYQ77" t="s">
        <v>229</v>
      </c>
      <c r="MYR77" t="s">
        <v>633</v>
      </c>
      <c r="MYS77" t="s">
        <v>229</v>
      </c>
      <c r="MYT77" t="s">
        <v>633</v>
      </c>
      <c r="MYU77" t="s">
        <v>229</v>
      </c>
      <c r="MYV77" t="s">
        <v>633</v>
      </c>
      <c r="MYW77" t="s">
        <v>229</v>
      </c>
      <c r="MYX77" t="s">
        <v>633</v>
      </c>
      <c r="MYY77" t="s">
        <v>229</v>
      </c>
      <c r="MYZ77" t="s">
        <v>633</v>
      </c>
      <c r="MZA77" t="s">
        <v>229</v>
      </c>
      <c r="MZB77" t="s">
        <v>633</v>
      </c>
      <c r="MZC77" t="s">
        <v>229</v>
      </c>
      <c r="MZD77" t="s">
        <v>633</v>
      </c>
      <c r="MZE77" t="s">
        <v>229</v>
      </c>
      <c r="MZF77" t="s">
        <v>633</v>
      </c>
      <c r="MZG77" t="s">
        <v>229</v>
      </c>
      <c r="MZH77" t="s">
        <v>633</v>
      </c>
      <c r="MZI77" t="s">
        <v>229</v>
      </c>
      <c r="MZJ77" t="s">
        <v>633</v>
      </c>
      <c r="MZK77" t="s">
        <v>229</v>
      </c>
      <c r="MZL77" t="s">
        <v>633</v>
      </c>
      <c r="MZM77" t="s">
        <v>229</v>
      </c>
      <c r="MZN77" t="s">
        <v>633</v>
      </c>
      <c r="MZO77" t="s">
        <v>229</v>
      </c>
      <c r="MZP77" t="s">
        <v>633</v>
      </c>
      <c r="MZQ77" t="s">
        <v>229</v>
      </c>
      <c r="MZR77" t="s">
        <v>633</v>
      </c>
      <c r="MZS77" t="s">
        <v>229</v>
      </c>
      <c r="MZT77" t="s">
        <v>633</v>
      </c>
      <c r="MZU77" t="s">
        <v>229</v>
      </c>
      <c r="MZV77" t="s">
        <v>633</v>
      </c>
      <c r="MZW77" t="s">
        <v>229</v>
      </c>
      <c r="MZX77" t="s">
        <v>633</v>
      </c>
      <c r="MZY77" t="s">
        <v>229</v>
      </c>
      <c r="MZZ77" t="s">
        <v>633</v>
      </c>
      <c r="NAA77" t="s">
        <v>229</v>
      </c>
      <c r="NAB77" t="s">
        <v>633</v>
      </c>
      <c r="NAC77" t="s">
        <v>229</v>
      </c>
      <c r="NAD77" t="s">
        <v>633</v>
      </c>
      <c r="NAE77" t="s">
        <v>229</v>
      </c>
      <c r="NAF77" t="s">
        <v>633</v>
      </c>
      <c r="NAG77" t="s">
        <v>229</v>
      </c>
      <c r="NAH77" t="s">
        <v>633</v>
      </c>
      <c r="NAI77" t="s">
        <v>229</v>
      </c>
      <c r="NAJ77" t="s">
        <v>633</v>
      </c>
      <c r="NAK77" t="s">
        <v>229</v>
      </c>
      <c r="NAL77" t="s">
        <v>633</v>
      </c>
      <c r="NAM77" t="s">
        <v>229</v>
      </c>
      <c r="NAN77" t="s">
        <v>633</v>
      </c>
      <c r="NAO77" t="s">
        <v>229</v>
      </c>
      <c r="NAP77" t="s">
        <v>633</v>
      </c>
      <c r="NAQ77" t="s">
        <v>229</v>
      </c>
      <c r="NAR77" t="s">
        <v>633</v>
      </c>
      <c r="NAS77" t="s">
        <v>229</v>
      </c>
      <c r="NAT77" t="s">
        <v>633</v>
      </c>
      <c r="NAU77" t="s">
        <v>229</v>
      </c>
      <c r="NAV77" t="s">
        <v>633</v>
      </c>
      <c r="NAW77" t="s">
        <v>229</v>
      </c>
      <c r="NAX77" t="s">
        <v>633</v>
      </c>
      <c r="NAY77" t="s">
        <v>229</v>
      </c>
      <c r="NAZ77" t="s">
        <v>633</v>
      </c>
      <c r="NBA77" t="s">
        <v>229</v>
      </c>
      <c r="NBB77" t="s">
        <v>633</v>
      </c>
      <c r="NBC77" t="s">
        <v>229</v>
      </c>
      <c r="NBD77" t="s">
        <v>633</v>
      </c>
      <c r="NBE77" t="s">
        <v>229</v>
      </c>
      <c r="NBF77" t="s">
        <v>633</v>
      </c>
      <c r="NBG77" t="s">
        <v>229</v>
      </c>
      <c r="NBH77" t="s">
        <v>633</v>
      </c>
      <c r="NBI77" t="s">
        <v>229</v>
      </c>
      <c r="NBJ77" t="s">
        <v>633</v>
      </c>
      <c r="NBK77" t="s">
        <v>229</v>
      </c>
      <c r="NBL77" t="s">
        <v>633</v>
      </c>
      <c r="NBM77" t="s">
        <v>229</v>
      </c>
      <c r="NBN77" t="s">
        <v>633</v>
      </c>
      <c r="NBO77" t="s">
        <v>229</v>
      </c>
      <c r="NBP77" t="s">
        <v>633</v>
      </c>
      <c r="NBQ77" t="s">
        <v>229</v>
      </c>
      <c r="NBR77" t="s">
        <v>633</v>
      </c>
      <c r="NBS77" t="s">
        <v>229</v>
      </c>
      <c r="NBT77" t="s">
        <v>633</v>
      </c>
      <c r="NBU77" t="s">
        <v>229</v>
      </c>
      <c r="NBV77" t="s">
        <v>633</v>
      </c>
      <c r="NBW77" t="s">
        <v>229</v>
      </c>
      <c r="NBX77" t="s">
        <v>633</v>
      </c>
      <c r="NBY77" t="s">
        <v>229</v>
      </c>
      <c r="NBZ77" t="s">
        <v>633</v>
      </c>
      <c r="NCA77" t="s">
        <v>229</v>
      </c>
      <c r="NCB77" t="s">
        <v>633</v>
      </c>
      <c r="NCC77" t="s">
        <v>229</v>
      </c>
      <c r="NCD77" t="s">
        <v>633</v>
      </c>
      <c r="NCE77" t="s">
        <v>229</v>
      </c>
      <c r="NCF77" t="s">
        <v>633</v>
      </c>
      <c r="NCG77" t="s">
        <v>229</v>
      </c>
      <c r="NCH77" t="s">
        <v>633</v>
      </c>
      <c r="NCI77" t="s">
        <v>229</v>
      </c>
      <c r="NCJ77" t="s">
        <v>633</v>
      </c>
      <c r="NCK77" t="s">
        <v>229</v>
      </c>
      <c r="NCL77" t="s">
        <v>633</v>
      </c>
      <c r="NCM77" t="s">
        <v>229</v>
      </c>
      <c r="NCN77" t="s">
        <v>633</v>
      </c>
      <c r="NCO77" t="s">
        <v>229</v>
      </c>
      <c r="NCP77" t="s">
        <v>633</v>
      </c>
      <c r="NCQ77" t="s">
        <v>229</v>
      </c>
      <c r="NCR77" t="s">
        <v>633</v>
      </c>
      <c r="NCS77" t="s">
        <v>229</v>
      </c>
      <c r="NCT77" t="s">
        <v>633</v>
      </c>
      <c r="NCU77" t="s">
        <v>229</v>
      </c>
      <c r="NCV77" t="s">
        <v>633</v>
      </c>
      <c r="NCW77" t="s">
        <v>229</v>
      </c>
      <c r="NCX77" t="s">
        <v>633</v>
      </c>
      <c r="NCY77" t="s">
        <v>229</v>
      </c>
      <c r="NCZ77" t="s">
        <v>633</v>
      </c>
      <c r="NDA77" t="s">
        <v>229</v>
      </c>
      <c r="NDB77" t="s">
        <v>633</v>
      </c>
      <c r="NDC77" t="s">
        <v>229</v>
      </c>
      <c r="NDD77" t="s">
        <v>633</v>
      </c>
      <c r="NDE77" t="s">
        <v>229</v>
      </c>
      <c r="NDF77" t="s">
        <v>633</v>
      </c>
      <c r="NDG77" t="s">
        <v>229</v>
      </c>
      <c r="NDH77" t="s">
        <v>633</v>
      </c>
      <c r="NDI77" t="s">
        <v>229</v>
      </c>
      <c r="NDJ77" t="s">
        <v>633</v>
      </c>
      <c r="NDK77" t="s">
        <v>229</v>
      </c>
      <c r="NDL77" t="s">
        <v>633</v>
      </c>
      <c r="NDM77" t="s">
        <v>229</v>
      </c>
      <c r="NDN77" t="s">
        <v>633</v>
      </c>
      <c r="NDO77" t="s">
        <v>229</v>
      </c>
      <c r="NDP77" t="s">
        <v>633</v>
      </c>
      <c r="NDQ77" t="s">
        <v>229</v>
      </c>
      <c r="NDR77" t="s">
        <v>633</v>
      </c>
      <c r="NDS77" t="s">
        <v>229</v>
      </c>
      <c r="NDT77" t="s">
        <v>633</v>
      </c>
      <c r="NDU77" t="s">
        <v>229</v>
      </c>
      <c r="NDV77" t="s">
        <v>633</v>
      </c>
      <c r="NDW77" t="s">
        <v>229</v>
      </c>
      <c r="NDX77" t="s">
        <v>633</v>
      </c>
      <c r="NDY77" t="s">
        <v>229</v>
      </c>
      <c r="NDZ77" t="s">
        <v>633</v>
      </c>
      <c r="NEA77" t="s">
        <v>229</v>
      </c>
      <c r="NEB77" t="s">
        <v>633</v>
      </c>
      <c r="NEC77" t="s">
        <v>229</v>
      </c>
      <c r="NED77" t="s">
        <v>633</v>
      </c>
      <c r="NEE77" t="s">
        <v>229</v>
      </c>
      <c r="NEF77" t="s">
        <v>633</v>
      </c>
      <c r="NEG77" t="s">
        <v>229</v>
      </c>
      <c r="NEH77" t="s">
        <v>633</v>
      </c>
      <c r="NEI77" t="s">
        <v>229</v>
      </c>
      <c r="NEJ77" t="s">
        <v>633</v>
      </c>
      <c r="NEK77" t="s">
        <v>229</v>
      </c>
      <c r="NEL77" t="s">
        <v>633</v>
      </c>
      <c r="NEM77" t="s">
        <v>229</v>
      </c>
      <c r="NEN77" t="s">
        <v>633</v>
      </c>
      <c r="NEO77" t="s">
        <v>229</v>
      </c>
      <c r="NEP77" t="s">
        <v>633</v>
      </c>
      <c r="NEQ77" t="s">
        <v>229</v>
      </c>
      <c r="NER77" t="s">
        <v>633</v>
      </c>
      <c r="NES77" t="s">
        <v>229</v>
      </c>
      <c r="NET77" t="s">
        <v>633</v>
      </c>
      <c r="NEU77" t="s">
        <v>229</v>
      </c>
      <c r="NEV77" t="s">
        <v>633</v>
      </c>
      <c r="NEW77" t="s">
        <v>229</v>
      </c>
      <c r="NEX77" t="s">
        <v>633</v>
      </c>
      <c r="NEY77" t="s">
        <v>229</v>
      </c>
      <c r="NEZ77" t="s">
        <v>633</v>
      </c>
      <c r="NFA77" t="s">
        <v>229</v>
      </c>
      <c r="NFB77" t="s">
        <v>633</v>
      </c>
      <c r="NFC77" t="s">
        <v>229</v>
      </c>
      <c r="NFD77" t="s">
        <v>633</v>
      </c>
      <c r="NFE77" t="s">
        <v>229</v>
      </c>
      <c r="NFF77" t="s">
        <v>633</v>
      </c>
      <c r="NFG77" t="s">
        <v>229</v>
      </c>
      <c r="NFH77" t="s">
        <v>633</v>
      </c>
      <c r="NFI77" t="s">
        <v>229</v>
      </c>
      <c r="NFJ77" t="s">
        <v>633</v>
      </c>
      <c r="NFK77" t="s">
        <v>229</v>
      </c>
      <c r="NFL77" t="s">
        <v>633</v>
      </c>
      <c r="NFM77" t="s">
        <v>229</v>
      </c>
      <c r="NFN77" t="s">
        <v>633</v>
      </c>
      <c r="NFO77" t="s">
        <v>229</v>
      </c>
      <c r="NFP77" t="s">
        <v>633</v>
      </c>
      <c r="NFQ77" t="s">
        <v>229</v>
      </c>
      <c r="NFR77" t="s">
        <v>633</v>
      </c>
      <c r="NFS77" t="s">
        <v>229</v>
      </c>
      <c r="NFT77" t="s">
        <v>633</v>
      </c>
      <c r="NFU77" t="s">
        <v>229</v>
      </c>
      <c r="NFV77" t="s">
        <v>633</v>
      </c>
      <c r="NFW77" t="s">
        <v>229</v>
      </c>
      <c r="NFX77" t="s">
        <v>633</v>
      </c>
      <c r="NFY77" t="s">
        <v>229</v>
      </c>
      <c r="NFZ77" t="s">
        <v>633</v>
      </c>
      <c r="NGA77" t="s">
        <v>229</v>
      </c>
      <c r="NGB77" t="s">
        <v>633</v>
      </c>
      <c r="NGC77" t="s">
        <v>229</v>
      </c>
      <c r="NGD77" t="s">
        <v>633</v>
      </c>
      <c r="NGE77" t="s">
        <v>229</v>
      </c>
      <c r="NGF77" t="s">
        <v>633</v>
      </c>
      <c r="NGG77" t="s">
        <v>229</v>
      </c>
      <c r="NGH77" t="s">
        <v>633</v>
      </c>
      <c r="NGI77" t="s">
        <v>229</v>
      </c>
      <c r="NGJ77" t="s">
        <v>633</v>
      </c>
      <c r="NGK77" t="s">
        <v>229</v>
      </c>
      <c r="NGL77" t="s">
        <v>633</v>
      </c>
      <c r="NGM77" t="s">
        <v>229</v>
      </c>
      <c r="NGN77" t="s">
        <v>633</v>
      </c>
      <c r="NGO77" t="s">
        <v>229</v>
      </c>
      <c r="NGP77" t="s">
        <v>633</v>
      </c>
      <c r="NGQ77" t="s">
        <v>229</v>
      </c>
      <c r="NGR77" t="s">
        <v>633</v>
      </c>
      <c r="NGS77" t="s">
        <v>229</v>
      </c>
      <c r="NGT77" t="s">
        <v>633</v>
      </c>
      <c r="NGU77" t="s">
        <v>229</v>
      </c>
      <c r="NGV77" t="s">
        <v>633</v>
      </c>
      <c r="NGW77" t="s">
        <v>229</v>
      </c>
      <c r="NGX77" t="s">
        <v>633</v>
      </c>
      <c r="NGY77" t="s">
        <v>229</v>
      </c>
      <c r="NGZ77" t="s">
        <v>633</v>
      </c>
      <c r="NHA77" t="s">
        <v>229</v>
      </c>
      <c r="NHB77" t="s">
        <v>633</v>
      </c>
      <c r="NHC77" t="s">
        <v>229</v>
      </c>
      <c r="NHD77" t="s">
        <v>633</v>
      </c>
      <c r="NHE77" t="s">
        <v>229</v>
      </c>
      <c r="NHF77" t="s">
        <v>633</v>
      </c>
      <c r="NHG77" t="s">
        <v>229</v>
      </c>
      <c r="NHH77" t="s">
        <v>633</v>
      </c>
      <c r="NHI77" t="s">
        <v>229</v>
      </c>
      <c r="NHJ77" t="s">
        <v>633</v>
      </c>
      <c r="NHK77" t="s">
        <v>229</v>
      </c>
      <c r="NHL77" t="s">
        <v>633</v>
      </c>
      <c r="NHM77" t="s">
        <v>229</v>
      </c>
      <c r="NHN77" t="s">
        <v>633</v>
      </c>
      <c r="NHO77" t="s">
        <v>229</v>
      </c>
      <c r="NHP77" t="s">
        <v>633</v>
      </c>
      <c r="NHQ77" t="s">
        <v>229</v>
      </c>
      <c r="NHR77" t="s">
        <v>633</v>
      </c>
      <c r="NHS77" t="s">
        <v>229</v>
      </c>
      <c r="NHT77" t="s">
        <v>633</v>
      </c>
      <c r="NHU77" t="s">
        <v>229</v>
      </c>
      <c r="NHV77" t="s">
        <v>633</v>
      </c>
      <c r="NHW77" t="s">
        <v>229</v>
      </c>
      <c r="NHX77" t="s">
        <v>633</v>
      </c>
      <c r="NHY77" t="s">
        <v>229</v>
      </c>
      <c r="NHZ77" t="s">
        <v>633</v>
      </c>
      <c r="NIA77" t="s">
        <v>229</v>
      </c>
      <c r="NIB77" t="s">
        <v>633</v>
      </c>
      <c r="NIC77" t="s">
        <v>229</v>
      </c>
      <c r="NID77" t="s">
        <v>633</v>
      </c>
      <c r="NIE77" t="s">
        <v>229</v>
      </c>
      <c r="NIF77" t="s">
        <v>633</v>
      </c>
      <c r="NIG77" t="s">
        <v>229</v>
      </c>
      <c r="NIH77" t="s">
        <v>633</v>
      </c>
      <c r="NII77" t="s">
        <v>229</v>
      </c>
      <c r="NIJ77" t="s">
        <v>633</v>
      </c>
      <c r="NIK77" t="s">
        <v>229</v>
      </c>
      <c r="NIL77" t="s">
        <v>633</v>
      </c>
      <c r="NIM77" t="s">
        <v>229</v>
      </c>
      <c r="NIN77" t="s">
        <v>633</v>
      </c>
      <c r="NIO77" t="s">
        <v>229</v>
      </c>
      <c r="NIP77" t="s">
        <v>633</v>
      </c>
      <c r="NIQ77" t="s">
        <v>229</v>
      </c>
      <c r="NIR77" t="s">
        <v>633</v>
      </c>
      <c r="NIS77" t="s">
        <v>229</v>
      </c>
      <c r="NIT77" t="s">
        <v>633</v>
      </c>
      <c r="NIU77" t="s">
        <v>229</v>
      </c>
      <c r="NIV77" t="s">
        <v>633</v>
      </c>
      <c r="NIW77" t="s">
        <v>229</v>
      </c>
      <c r="NIX77" t="s">
        <v>633</v>
      </c>
      <c r="NIY77" t="s">
        <v>229</v>
      </c>
      <c r="NIZ77" t="s">
        <v>633</v>
      </c>
      <c r="NJA77" t="s">
        <v>229</v>
      </c>
      <c r="NJB77" t="s">
        <v>633</v>
      </c>
      <c r="NJC77" t="s">
        <v>229</v>
      </c>
      <c r="NJD77" t="s">
        <v>633</v>
      </c>
      <c r="NJE77" t="s">
        <v>229</v>
      </c>
      <c r="NJF77" t="s">
        <v>633</v>
      </c>
      <c r="NJG77" t="s">
        <v>229</v>
      </c>
      <c r="NJH77" t="s">
        <v>633</v>
      </c>
      <c r="NJI77" t="s">
        <v>229</v>
      </c>
      <c r="NJJ77" t="s">
        <v>633</v>
      </c>
      <c r="NJK77" t="s">
        <v>229</v>
      </c>
      <c r="NJL77" t="s">
        <v>633</v>
      </c>
      <c r="NJM77" t="s">
        <v>229</v>
      </c>
      <c r="NJN77" t="s">
        <v>633</v>
      </c>
      <c r="NJO77" t="s">
        <v>229</v>
      </c>
      <c r="NJP77" t="s">
        <v>633</v>
      </c>
      <c r="NJQ77" t="s">
        <v>229</v>
      </c>
      <c r="NJR77" t="s">
        <v>633</v>
      </c>
      <c r="NJS77" t="s">
        <v>229</v>
      </c>
      <c r="NJT77" t="s">
        <v>633</v>
      </c>
      <c r="NJU77" t="s">
        <v>229</v>
      </c>
      <c r="NJV77" t="s">
        <v>633</v>
      </c>
      <c r="NJW77" t="s">
        <v>229</v>
      </c>
      <c r="NJX77" t="s">
        <v>633</v>
      </c>
      <c r="NJY77" t="s">
        <v>229</v>
      </c>
      <c r="NJZ77" t="s">
        <v>633</v>
      </c>
      <c r="NKA77" t="s">
        <v>229</v>
      </c>
      <c r="NKB77" t="s">
        <v>633</v>
      </c>
      <c r="NKC77" t="s">
        <v>229</v>
      </c>
      <c r="NKD77" t="s">
        <v>633</v>
      </c>
      <c r="NKE77" t="s">
        <v>229</v>
      </c>
      <c r="NKF77" t="s">
        <v>633</v>
      </c>
      <c r="NKG77" t="s">
        <v>229</v>
      </c>
      <c r="NKH77" t="s">
        <v>633</v>
      </c>
      <c r="NKI77" t="s">
        <v>229</v>
      </c>
      <c r="NKJ77" t="s">
        <v>633</v>
      </c>
      <c r="NKK77" t="s">
        <v>229</v>
      </c>
      <c r="NKL77" t="s">
        <v>633</v>
      </c>
      <c r="NKM77" t="s">
        <v>229</v>
      </c>
      <c r="NKN77" t="s">
        <v>633</v>
      </c>
      <c r="NKO77" t="s">
        <v>229</v>
      </c>
      <c r="NKP77" t="s">
        <v>633</v>
      </c>
      <c r="NKQ77" t="s">
        <v>229</v>
      </c>
      <c r="NKR77" t="s">
        <v>633</v>
      </c>
      <c r="NKS77" t="s">
        <v>229</v>
      </c>
      <c r="NKT77" t="s">
        <v>633</v>
      </c>
      <c r="NKU77" t="s">
        <v>229</v>
      </c>
      <c r="NKV77" t="s">
        <v>633</v>
      </c>
      <c r="NKW77" t="s">
        <v>229</v>
      </c>
      <c r="NKX77" t="s">
        <v>633</v>
      </c>
      <c r="NKY77" t="s">
        <v>229</v>
      </c>
      <c r="NKZ77" t="s">
        <v>633</v>
      </c>
      <c r="NLA77" t="s">
        <v>229</v>
      </c>
      <c r="NLB77" t="s">
        <v>633</v>
      </c>
      <c r="NLC77" t="s">
        <v>229</v>
      </c>
      <c r="NLD77" t="s">
        <v>633</v>
      </c>
      <c r="NLE77" t="s">
        <v>229</v>
      </c>
      <c r="NLF77" t="s">
        <v>633</v>
      </c>
      <c r="NLG77" t="s">
        <v>229</v>
      </c>
      <c r="NLH77" t="s">
        <v>633</v>
      </c>
      <c r="NLI77" t="s">
        <v>229</v>
      </c>
      <c r="NLJ77" t="s">
        <v>633</v>
      </c>
      <c r="NLK77" t="s">
        <v>229</v>
      </c>
      <c r="NLL77" t="s">
        <v>633</v>
      </c>
      <c r="NLM77" t="s">
        <v>229</v>
      </c>
      <c r="NLN77" t="s">
        <v>633</v>
      </c>
      <c r="NLO77" t="s">
        <v>229</v>
      </c>
      <c r="NLP77" t="s">
        <v>633</v>
      </c>
      <c r="NLQ77" t="s">
        <v>229</v>
      </c>
      <c r="NLR77" t="s">
        <v>633</v>
      </c>
      <c r="NLS77" t="s">
        <v>229</v>
      </c>
      <c r="NLT77" t="s">
        <v>633</v>
      </c>
      <c r="NLU77" t="s">
        <v>229</v>
      </c>
      <c r="NLV77" t="s">
        <v>633</v>
      </c>
      <c r="NLW77" t="s">
        <v>229</v>
      </c>
      <c r="NLX77" t="s">
        <v>633</v>
      </c>
      <c r="NLY77" t="s">
        <v>229</v>
      </c>
      <c r="NLZ77" t="s">
        <v>633</v>
      </c>
      <c r="NMA77" t="s">
        <v>229</v>
      </c>
      <c r="NMB77" t="s">
        <v>633</v>
      </c>
      <c r="NMC77" t="s">
        <v>229</v>
      </c>
      <c r="NMD77" t="s">
        <v>633</v>
      </c>
      <c r="NME77" t="s">
        <v>229</v>
      </c>
      <c r="NMF77" t="s">
        <v>633</v>
      </c>
      <c r="NMG77" t="s">
        <v>229</v>
      </c>
      <c r="NMH77" t="s">
        <v>633</v>
      </c>
      <c r="NMI77" t="s">
        <v>229</v>
      </c>
      <c r="NMJ77" t="s">
        <v>633</v>
      </c>
      <c r="NMK77" t="s">
        <v>229</v>
      </c>
      <c r="NML77" t="s">
        <v>633</v>
      </c>
      <c r="NMM77" t="s">
        <v>229</v>
      </c>
      <c r="NMN77" t="s">
        <v>633</v>
      </c>
      <c r="NMO77" t="s">
        <v>229</v>
      </c>
      <c r="NMP77" t="s">
        <v>633</v>
      </c>
      <c r="NMQ77" t="s">
        <v>229</v>
      </c>
      <c r="NMR77" t="s">
        <v>633</v>
      </c>
      <c r="NMS77" t="s">
        <v>229</v>
      </c>
      <c r="NMT77" t="s">
        <v>633</v>
      </c>
      <c r="NMU77" t="s">
        <v>229</v>
      </c>
      <c r="NMV77" t="s">
        <v>633</v>
      </c>
      <c r="NMW77" t="s">
        <v>229</v>
      </c>
      <c r="NMX77" t="s">
        <v>633</v>
      </c>
      <c r="NMY77" t="s">
        <v>229</v>
      </c>
      <c r="NMZ77" t="s">
        <v>633</v>
      </c>
      <c r="NNA77" t="s">
        <v>229</v>
      </c>
      <c r="NNB77" t="s">
        <v>633</v>
      </c>
      <c r="NNC77" t="s">
        <v>229</v>
      </c>
      <c r="NND77" t="s">
        <v>633</v>
      </c>
      <c r="NNE77" t="s">
        <v>229</v>
      </c>
      <c r="NNF77" t="s">
        <v>633</v>
      </c>
      <c r="NNG77" t="s">
        <v>229</v>
      </c>
      <c r="NNH77" t="s">
        <v>633</v>
      </c>
      <c r="NNI77" t="s">
        <v>229</v>
      </c>
      <c r="NNJ77" t="s">
        <v>633</v>
      </c>
      <c r="NNK77" t="s">
        <v>229</v>
      </c>
      <c r="NNL77" t="s">
        <v>633</v>
      </c>
      <c r="NNM77" t="s">
        <v>229</v>
      </c>
      <c r="NNN77" t="s">
        <v>633</v>
      </c>
      <c r="NNO77" t="s">
        <v>229</v>
      </c>
      <c r="NNP77" t="s">
        <v>633</v>
      </c>
      <c r="NNQ77" t="s">
        <v>229</v>
      </c>
      <c r="NNR77" t="s">
        <v>633</v>
      </c>
      <c r="NNS77" t="s">
        <v>229</v>
      </c>
      <c r="NNT77" t="s">
        <v>633</v>
      </c>
      <c r="NNU77" t="s">
        <v>229</v>
      </c>
      <c r="NNV77" t="s">
        <v>633</v>
      </c>
      <c r="NNW77" t="s">
        <v>229</v>
      </c>
      <c r="NNX77" t="s">
        <v>633</v>
      </c>
      <c r="NNY77" t="s">
        <v>229</v>
      </c>
      <c r="NNZ77" t="s">
        <v>633</v>
      </c>
      <c r="NOA77" t="s">
        <v>229</v>
      </c>
      <c r="NOB77" t="s">
        <v>633</v>
      </c>
      <c r="NOC77" t="s">
        <v>229</v>
      </c>
      <c r="NOD77" t="s">
        <v>633</v>
      </c>
      <c r="NOE77" t="s">
        <v>229</v>
      </c>
      <c r="NOF77" t="s">
        <v>633</v>
      </c>
      <c r="NOG77" t="s">
        <v>229</v>
      </c>
      <c r="NOH77" t="s">
        <v>633</v>
      </c>
      <c r="NOI77" t="s">
        <v>229</v>
      </c>
      <c r="NOJ77" t="s">
        <v>633</v>
      </c>
      <c r="NOK77" t="s">
        <v>229</v>
      </c>
      <c r="NOL77" t="s">
        <v>633</v>
      </c>
      <c r="NOM77" t="s">
        <v>229</v>
      </c>
      <c r="NON77" t="s">
        <v>633</v>
      </c>
      <c r="NOO77" t="s">
        <v>229</v>
      </c>
      <c r="NOP77" t="s">
        <v>633</v>
      </c>
      <c r="NOQ77" t="s">
        <v>229</v>
      </c>
      <c r="NOR77" t="s">
        <v>633</v>
      </c>
      <c r="NOS77" t="s">
        <v>229</v>
      </c>
      <c r="NOT77" t="s">
        <v>633</v>
      </c>
      <c r="NOU77" t="s">
        <v>229</v>
      </c>
      <c r="NOV77" t="s">
        <v>633</v>
      </c>
      <c r="NOW77" t="s">
        <v>229</v>
      </c>
      <c r="NOX77" t="s">
        <v>633</v>
      </c>
      <c r="NOY77" t="s">
        <v>229</v>
      </c>
      <c r="NOZ77" t="s">
        <v>633</v>
      </c>
      <c r="NPA77" t="s">
        <v>229</v>
      </c>
      <c r="NPB77" t="s">
        <v>633</v>
      </c>
      <c r="NPC77" t="s">
        <v>229</v>
      </c>
      <c r="NPD77" t="s">
        <v>633</v>
      </c>
      <c r="NPE77" t="s">
        <v>229</v>
      </c>
      <c r="NPF77" t="s">
        <v>633</v>
      </c>
      <c r="NPG77" t="s">
        <v>229</v>
      </c>
      <c r="NPH77" t="s">
        <v>633</v>
      </c>
      <c r="NPI77" t="s">
        <v>229</v>
      </c>
      <c r="NPJ77" t="s">
        <v>633</v>
      </c>
      <c r="NPK77" t="s">
        <v>229</v>
      </c>
      <c r="NPL77" t="s">
        <v>633</v>
      </c>
      <c r="NPM77" t="s">
        <v>229</v>
      </c>
      <c r="NPN77" t="s">
        <v>633</v>
      </c>
      <c r="NPO77" t="s">
        <v>229</v>
      </c>
      <c r="NPP77" t="s">
        <v>633</v>
      </c>
      <c r="NPQ77" t="s">
        <v>229</v>
      </c>
      <c r="NPR77" t="s">
        <v>633</v>
      </c>
      <c r="NPS77" t="s">
        <v>229</v>
      </c>
      <c r="NPT77" t="s">
        <v>633</v>
      </c>
      <c r="NPU77" t="s">
        <v>229</v>
      </c>
      <c r="NPV77" t="s">
        <v>633</v>
      </c>
      <c r="NPW77" t="s">
        <v>229</v>
      </c>
      <c r="NPX77" t="s">
        <v>633</v>
      </c>
      <c r="NPY77" t="s">
        <v>229</v>
      </c>
      <c r="NPZ77" t="s">
        <v>633</v>
      </c>
      <c r="NQA77" t="s">
        <v>229</v>
      </c>
      <c r="NQB77" t="s">
        <v>633</v>
      </c>
      <c r="NQC77" t="s">
        <v>229</v>
      </c>
      <c r="NQD77" t="s">
        <v>633</v>
      </c>
      <c r="NQE77" t="s">
        <v>229</v>
      </c>
      <c r="NQF77" t="s">
        <v>633</v>
      </c>
      <c r="NQG77" t="s">
        <v>229</v>
      </c>
      <c r="NQH77" t="s">
        <v>633</v>
      </c>
      <c r="NQI77" t="s">
        <v>229</v>
      </c>
      <c r="NQJ77" t="s">
        <v>633</v>
      </c>
      <c r="NQK77" t="s">
        <v>229</v>
      </c>
      <c r="NQL77" t="s">
        <v>633</v>
      </c>
      <c r="NQM77" t="s">
        <v>229</v>
      </c>
      <c r="NQN77" t="s">
        <v>633</v>
      </c>
      <c r="NQO77" t="s">
        <v>229</v>
      </c>
      <c r="NQP77" t="s">
        <v>633</v>
      </c>
      <c r="NQQ77" t="s">
        <v>229</v>
      </c>
      <c r="NQR77" t="s">
        <v>633</v>
      </c>
      <c r="NQS77" t="s">
        <v>229</v>
      </c>
      <c r="NQT77" t="s">
        <v>633</v>
      </c>
      <c r="NQU77" t="s">
        <v>229</v>
      </c>
      <c r="NQV77" t="s">
        <v>633</v>
      </c>
      <c r="NQW77" t="s">
        <v>229</v>
      </c>
      <c r="NQX77" t="s">
        <v>633</v>
      </c>
      <c r="NQY77" t="s">
        <v>229</v>
      </c>
      <c r="NQZ77" t="s">
        <v>633</v>
      </c>
      <c r="NRA77" t="s">
        <v>229</v>
      </c>
      <c r="NRB77" t="s">
        <v>633</v>
      </c>
      <c r="NRC77" t="s">
        <v>229</v>
      </c>
      <c r="NRD77" t="s">
        <v>633</v>
      </c>
      <c r="NRE77" t="s">
        <v>229</v>
      </c>
      <c r="NRF77" t="s">
        <v>633</v>
      </c>
      <c r="NRG77" t="s">
        <v>229</v>
      </c>
      <c r="NRH77" t="s">
        <v>633</v>
      </c>
      <c r="NRI77" t="s">
        <v>229</v>
      </c>
      <c r="NRJ77" t="s">
        <v>633</v>
      </c>
      <c r="NRK77" t="s">
        <v>229</v>
      </c>
      <c r="NRL77" t="s">
        <v>633</v>
      </c>
      <c r="NRM77" t="s">
        <v>229</v>
      </c>
      <c r="NRN77" t="s">
        <v>633</v>
      </c>
      <c r="NRO77" t="s">
        <v>229</v>
      </c>
      <c r="NRP77" t="s">
        <v>633</v>
      </c>
      <c r="NRQ77" t="s">
        <v>229</v>
      </c>
      <c r="NRR77" t="s">
        <v>633</v>
      </c>
      <c r="NRS77" t="s">
        <v>229</v>
      </c>
      <c r="NRT77" t="s">
        <v>633</v>
      </c>
      <c r="NRU77" t="s">
        <v>229</v>
      </c>
      <c r="NRV77" t="s">
        <v>633</v>
      </c>
      <c r="NRW77" t="s">
        <v>229</v>
      </c>
      <c r="NRX77" t="s">
        <v>633</v>
      </c>
      <c r="NRY77" t="s">
        <v>229</v>
      </c>
      <c r="NRZ77" t="s">
        <v>633</v>
      </c>
      <c r="NSA77" t="s">
        <v>229</v>
      </c>
      <c r="NSB77" t="s">
        <v>633</v>
      </c>
      <c r="NSC77" t="s">
        <v>229</v>
      </c>
      <c r="NSD77" t="s">
        <v>633</v>
      </c>
      <c r="NSE77" t="s">
        <v>229</v>
      </c>
      <c r="NSF77" t="s">
        <v>633</v>
      </c>
      <c r="NSG77" t="s">
        <v>229</v>
      </c>
      <c r="NSH77" t="s">
        <v>633</v>
      </c>
      <c r="NSI77" t="s">
        <v>229</v>
      </c>
      <c r="NSJ77" t="s">
        <v>633</v>
      </c>
      <c r="NSK77" t="s">
        <v>229</v>
      </c>
      <c r="NSL77" t="s">
        <v>633</v>
      </c>
      <c r="NSM77" t="s">
        <v>229</v>
      </c>
      <c r="NSN77" t="s">
        <v>633</v>
      </c>
      <c r="NSO77" t="s">
        <v>229</v>
      </c>
      <c r="NSP77" t="s">
        <v>633</v>
      </c>
      <c r="NSQ77" t="s">
        <v>229</v>
      </c>
      <c r="NSR77" t="s">
        <v>633</v>
      </c>
      <c r="NSS77" t="s">
        <v>229</v>
      </c>
      <c r="NST77" t="s">
        <v>633</v>
      </c>
      <c r="NSU77" t="s">
        <v>229</v>
      </c>
      <c r="NSV77" t="s">
        <v>633</v>
      </c>
      <c r="NSW77" t="s">
        <v>229</v>
      </c>
      <c r="NSX77" t="s">
        <v>633</v>
      </c>
      <c r="NSY77" t="s">
        <v>229</v>
      </c>
      <c r="NSZ77" t="s">
        <v>633</v>
      </c>
      <c r="NTA77" t="s">
        <v>229</v>
      </c>
      <c r="NTB77" t="s">
        <v>633</v>
      </c>
      <c r="NTC77" t="s">
        <v>229</v>
      </c>
      <c r="NTD77" t="s">
        <v>633</v>
      </c>
      <c r="NTE77" t="s">
        <v>229</v>
      </c>
      <c r="NTF77" t="s">
        <v>633</v>
      </c>
      <c r="NTG77" t="s">
        <v>229</v>
      </c>
      <c r="NTH77" t="s">
        <v>633</v>
      </c>
      <c r="NTI77" t="s">
        <v>229</v>
      </c>
      <c r="NTJ77" t="s">
        <v>633</v>
      </c>
      <c r="NTK77" t="s">
        <v>229</v>
      </c>
      <c r="NTL77" t="s">
        <v>633</v>
      </c>
      <c r="NTM77" t="s">
        <v>229</v>
      </c>
      <c r="NTN77" t="s">
        <v>633</v>
      </c>
      <c r="NTO77" t="s">
        <v>229</v>
      </c>
      <c r="NTP77" t="s">
        <v>633</v>
      </c>
      <c r="NTQ77" t="s">
        <v>229</v>
      </c>
      <c r="NTR77" t="s">
        <v>633</v>
      </c>
      <c r="NTS77" t="s">
        <v>229</v>
      </c>
      <c r="NTT77" t="s">
        <v>633</v>
      </c>
      <c r="NTU77" t="s">
        <v>229</v>
      </c>
      <c r="NTV77" t="s">
        <v>633</v>
      </c>
      <c r="NTW77" t="s">
        <v>229</v>
      </c>
      <c r="NTX77" t="s">
        <v>633</v>
      </c>
      <c r="NTY77" t="s">
        <v>229</v>
      </c>
      <c r="NTZ77" t="s">
        <v>633</v>
      </c>
      <c r="NUA77" t="s">
        <v>229</v>
      </c>
      <c r="NUB77" t="s">
        <v>633</v>
      </c>
      <c r="NUC77" t="s">
        <v>229</v>
      </c>
      <c r="NUD77" t="s">
        <v>633</v>
      </c>
      <c r="NUE77" t="s">
        <v>229</v>
      </c>
      <c r="NUF77" t="s">
        <v>633</v>
      </c>
      <c r="NUG77" t="s">
        <v>229</v>
      </c>
      <c r="NUH77" t="s">
        <v>633</v>
      </c>
      <c r="NUI77" t="s">
        <v>229</v>
      </c>
      <c r="NUJ77" t="s">
        <v>633</v>
      </c>
      <c r="NUK77" t="s">
        <v>229</v>
      </c>
      <c r="NUL77" t="s">
        <v>633</v>
      </c>
      <c r="NUM77" t="s">
        <v>229</v>
      </c>
      <c r="NUN77" t="s">
        <v>633</v>
      </c>
      <c r="NUO77" t="s">
        <v>229</v>
      </c>
      <c r="NUP77" t="s">
        <v>633</v>
      </c>
      <c r="NUQ77" t="s">
        <v>229</v>
      </c>
      <c r="NUR77" t="s">
        <v>633</v>
      </c>
      <c r="NUS77" t="s">
        <v>229</v>
      </c>
      <c r="NUT77" t="s">
        <v>633</v>
      </c>
      <c r="NUU77" t="s">
        <v>229</v>
      </c>
      <c r="NUV77" t="s">
        <v>633</v>
      </c>
      <c r="NUW77" t="s">
        <v>229</v>
      </c>
      <c r="NUX77" t="s">
        <v>633</v>
      </c>
      <c r="NUY77" t="s">
        <v>229</v>
      </c>
      <c r="NUZ77" t="s">
        <v>633</v>
      </c>
      <c r="NVA77" t="s">
        <v>229</v>
      </c>
      <c r="NVB77" t="s">
        <v>633</v>
      </c>
      <c r="NVC77" t="s">
        <v>229</v>
      </c>
      <c r="NVD77" t="s">
        <v>633</v>
      </c>
      <c r="NVE77" t="s">
        <v>229</v>
      </c>
      <c r="NVF77" t="s">
        <v>633</v>
      </c>
      <c r="NVG77" t="s">
        <v>229</v>
      </c>
      <c r="NVH77" t="s">
        <v>633</v>
      </c>
      <c r="NVI77" t="s">
        <v>229</v>
      </c>
      <c r="NVJ77" t="s">
        <v>633</v>
      </c>
      <c r="NVK77" t="s">
        <v>229</v>
      </c>
      <c r="NVL77" t="s">
        <v>633</v>
      </c>
      <c r="NVM77" t="s">
        <v>229</v>
      </c>
      <c r="NVN77" t="s">
        <v>633</v>
      </c>
      <c r="NVO77" t="s">
        <v>229</v>
      </c>
      <c r="NVP77" t="s">
        <v>633</v>
      </c>
      <c r="NVQ77" t="s">
        <v>229</v>
      </c>
      <c r="NVR77" t="s">
        <v>633</v>
      </c>
      <c r="NVS77" t="s">
        <v>229</v>
      </c>
      <c r="NVT77" t="s">
        <v>633</v>
      </c>
      <c r="NVU77" t="s">
        <v>229</v>
      </c>
      <c r="NVV77" t="s">
        <v>633</v>
      </c>
      <c r="NVW77" t="s">
        <v>229</v>
      </c>
      <c r="NVX77" t="s">
        <v>633</v>
      </c>
      <c r="NVY77" t="s">
        <v>229</v>
      </c>
      <c r="NVZ77" t="s">
        <v>633</v>
      </c>
      <c r="NWA77" t="s">
        <v>229</v>
      </c>
      <c r="NWB77" t="s">
        <v>633</v>
      </c>
      <c r="NWC77" t="s">
        <v>229</v>
      </c>
      <c r="NWD77" t="s">
        <v>633</v>
      </c>
      <c r="NWE77" t="s">
        <v>229</v>
      </c>
      <c r="NWF77" t="s">
        <v>633</v>
      </c>
      <c r="NWG77" t="s">
        <v>229</v>
      </c>
      <c r="NWH77" t="s">
        <v>633</v>
      </c>
      <c r="NWI77" t="s">
        <v>229</v>
      </c>
      <c r="NWJ77" t="s">
        <v>633</v>
      </c>
      <c r="NWK77" t="s">
        <v>229</v>
      </c>
      <c r="NWL77" t="s">
        <v>633</v>
      </c>
      <c r="NWM77" t="s">
        <v>229</v>
      </c>
      <c r="NWN77" t="s">
        <v>633</v>
      </c>
      <c r="NWO77" t="s">
        <v>229</v>
      </c>
      <c r="NWP77" t="s">
        <v>633</v>
      </c>
      <c r="NWQ77" t="s">
        <v>229</v>
      </c>
      <c r="NWR77" t="s">
        <v>633</v>
      </c>
      <c r="NWS77" t="s">
        <v>229</v>
      </c>
      <c r="NWT77" t="s">
        <v>633</v>
      </c>
      <c r="NWU77" t="s">
        <v>229</v>
      </c>
      <c r="NWV77" t="s">
        <v>633</v>
      </c>
      <c r="NWW77" t="s">
        <v>229</v>
      </c>
      <c r="NWX77" t="s">
        <v>633</v>
      </c>
      <c r="NWY77" t="s">
        <v>229</v>
      </c>
      <c r="NWZ77" t="s">
        <v>633</v>
      </c>
      <c r="NXA77" t="s">
        <v>229</v>
      </c>
      <c r="NXB77" t="s">
        <v>633</v>
      </c>
      <c r="NXC77" t="s">
        <v>229</v>
      </c>
      <c r="NXD77" t="s">
        <v>633</v>
      </c>
      <c r="NXE77" t="s">
        <v>229</v>
      </c>
      <c r="NXF77" t="s">
        <v>633</v>
      </c>
      <c r="NXG77" t="s">
        <v>229</v>
      </c>
      <c r="NXH77" t="s">
        <v>633</v>
      </c>
      <c r="NXI77" t="s">
        <v>229</v>
      </c>
      <c r="NXJ77" t="s">
        <v>633</v>
      </c>
      <c r="NXK77" t="s">
        <v>229</v>
      </c>
      <c r="NXL77" t="s">
        <v>633</v>
      </c>
      <c r="NXM77" t="s">
        <v>229</v>
      </c>
      <c r="NXN77" t="s">
        <v>633</v>
      </c>
      <c r="NXO77" t="s">
        <v>229</v>
      </c>
      <c r="NXP77" t="s">
        <v>633</v>
      </c>
      <c r="NXQ77" t="s">
        <v>229</v>
      </c>
      <c r="NXR77" t="s">
        <v>633</v>
      </c>
      <c r="NXS77" t="s">
        <v>229</v>
      </c>
      <c r="NXT77" t="s">
        <v>633</v>
      </c>
      <c r="NXU77" t="s">
        <v>229</v>
      </c>
      <c r="NXV77" t="s">
        <v>633</v>
      </c>
      <c r="NXW77" t="s">
        <v>229</v>
      </c>
      <c r="NXX77" t="s">
        <v>633</v>
      </c>
      <c r="NXY77" t="s">
        <v>229</v>
      </c>
      <c r="NXZ77" t="s">
        <v>633</v>
      </c>
      <c r="NYA77" t="s">
        <v>229</v>
      </c>
      <c r="NYB77" t="s">
        <v>633</v>
      </c>
      <c r="NYC77" t="s">
        <v>229</v>
      </c>
      <c r="NYD77" t="s">
        <v>633</v>
      </c>
      <c r="NYE77" t="s">
        <v>229</v>
      </c>
      <c r="NYF77" t="s">
        <v>633</v>
      </c>
      <c r="NYG77" t="s">
        <v>229</v>
      </c>
      <c r="NYH77" t="s">
        <v>633</v>
      </c>
      <c r="NYI77" t="s">
        <v>229</v>
      </c>
      <c r="NYJ77" t="s">
        <v>633</v>
      </c>
      <c r="NYK77" t="s">
        <v>229</v>
      </c>
      <c r="NYL77" t="s">
        <v>633</v>
      </c>
      <c r="NYM77" t="s">
        <v>229</v>
      </c>
      <c r="NYN77" t="s">
        <v>633</v>
      </c>
      <c r="NYO77" t="s">
        <v>229</v>
      </c>
      <c r="NYP77" t="s">
        <v>633</v>
      </c>
      <c r="NYQ77" t="s">
        <v>229</v>
      </c>
      <c r="NYR77" t="s">
        <v>633</v>
      </c>
      <c r="NYS77" t="s">
        <v>229</v>
      </c>
      <c r="NYT77" t="s">
        <v>633</v>
      </c>
      <c r="NYU77" t="s">
        <v>229</v>
      </c>
      <c r="NYV77" t="s">
        <v>633</v>
      </c>
      <c r="NYW77" t="s">
        <v>229</v>
      </c>
      <c r="NYX77" t="s">
        <v>633</v>
      </c>
      <c r="NYY77" t="s">
        <v>229</v>
      </c>
      <c r="NYZ77" t="s">
        <v>633</v>
      </c>
      <c r="NZA77" t="s">
        <v>229</v>
      </c>
      <c r="NZB77" t="s">
        <v>633</v>
      </c>
      <c r="NZC77" t="s">
        <v>229</v>
      </c>
      <c r="NZD77" t="s">
        <v>633</v>
      </c>
      <c r="NZE77" t="s">
        <v>229</v>
      </c>
      <c r="NZF77" t="s">
        <v>633</v>
      </c>
      <c r="NZG77" t="s">
        <v>229</v>
      </c>
      <c r="NZH77" t="s">
        <v>633</v>
      </c>
      <c r="NZI77" t="s">
        <v>229</v>
      </c>
      <c r="NZJ77" t="s">
        <v>633</v>
      </c>
      <c r="NZK77" t="s">
        <v>229</v>
      </c>
      <c r="NZL77" t="s">
        <v>633</v>
      </c>
      <c r="NZM77" t="s">
        <v>229</v>
      </c>
      <c r="NZN77" t="s">
        <v>633</v>
      </c>
      <c r="NZO77" t="s">
        <v>229</v>
      </c>
      <c r="NZP77" t="s">
        <v>633</v>
      </c>
      <c r="NZQ77" t="s">
        <v>229</v>
      </c>
      <c r="NZR77" t="s">
        <v>633</v>
      </c>
      <c r="NZS77" t="s">
        <v>229</v>
      </c>
      <c r="NZT77" t="s">
        <v>633</v>
      </c>
      <c r="NZU77" t="s">
        <v>229</v>
      </c>
      <c r="NZV77" t="s">
        <v>633</v>
      </c>
      <c r="NZW77" t="s">
        <v>229</v>
      </c>
      <c r="NZX77" t="s">
        <v>633</v>
      </c>
      <c r="NZY77" t="s">
        <v>229</v>
      </c>
      <c r="NZZ77" t="s">
        <v>633</v>
      </c>
      <c r="OAA77" t="s">
        <v>229</v>
      </c>
      <c r="OAB77" t="s">
        <v>633</v>
      </c>
      <c r="OAC77" t="s">
        <v>229</v>
      </c>
      <c r="OAD77" t="s">
        <v>633</v>
      </c>
      <c r="OAE77" t="s">
        <v>229</v>
      </c>
      <c r="OAF77" t="s">
        <v>633</v>
      </c>
      <c r="OAG77" t="s">
        <v>229</v>
      </c>
      <c r="OAH77" t="s">
        <v>633</v>
      </c>
      <c r="OAI77" t="s">
        <v>229</v>
      </c>
      <c r="OAJ77" t="s">
        <v>633</v>
      </c>
      <c r="OAK77" t="s">
        <v>229</v>
      </c>
      <c r="OAL77" t="s">
        <v>633</v>
      </c>
      <c r="OAM77" t="s">
        <v>229</v>
      </c>
      <c r="OAN77" t="s">
        <v>633</v>
      </c>
      <c r="OAO77" t="s">
        <v>229</v>
      </c>
      <c r="OAP77" t="s">
        <v>633</v>
      </c>
      <c r="OAQ77" t="s">
        <v>229</v>
      </c>
      <c r="OAR77" t="s">
        <v>633</v>
      </c>
      <c r="OAS77" t="s">
        <v>229</v>
      </c>
      <c r="OAT77" t="s">
        <v>633</v>
      </c>
      <c r="OAU77" t="s">
        <v>229</v>
      </c>
      <c r="OAV77" t="s">
        <v>633</v>
      </c>
      <c r="OAW77" t="s">
        <v>229</v>
      </c>
      <c r="OAX77" t="s">
        <v>633</v>
      </c>
      <c r="OAY77" t="s">
        <v>229</v>
      </c>
      <c r="OAZ77" t="s">
        <v>633</v>
      </c>
      <c r="OBA77" t="s">
        <v>229</v>
      </c>
      <c r="OBB77" t="s">
        <v>633</v>
      </c>
      <c r="OBC77" t="s">
        <v>229</v>
      </c>
      <c r="OBD77" t="s">
        <v>633</v>
      </c>
      <c r="OBE77" t="s">
        <v>229</v>
      </c>
      <c r="OBF77" t="s">
        <v>633</v>
      </c>
      <c r="OBG77" t="s">
        <v>229</v>
      </c>
      <c r="OBH77" t="s">
        <v>633</v>
      </c>
      <c r="OBI77" t="s">
        <v>229</v>
      </c>
      <c r="OBJ77" t="s">
        <v>633</v>
      </c>
      <c r="OBK77" t="s">
        <v>229</v>
      </c>
      <c r="OBL77" t="s">
        <v>633</v>
      </c>
      <c r="OBM77" t="s">
        <v>229</v>
      </c>
      <c r="OBN77" t="s">
        <v>633</v>
      </c>
      <c r="OBO77" t="s">
        <v>229</v>
      </c>
      <c r="OBP77" t="s">
        <v>633</v>
      </c>
      <c r="OBQ77" t="s">
        <v>229</v>
      </c>
      <c r="OBR77" t="s">
        <v>633</v>
      </c>
      <c r="OBS77" t="s">
        <v>229</v>
      </c>
      <c r="OBT77" t="s">
        <v>633</v>
      </c>
      <c r="OBU77" t="s">
        <v>229</v>
      </c>
      <c r="OBV77" t="s">
        <v>633</v>
      </c>
      <c r="OBW77" t="s">
        <v>229</v>
      </c>
      <c r="OBX77" t="s">
        <v>633</v>
      </c>
      <c r="OBY77" t="s">
        <v>229</v>
      </c>
      <c r="OBZ77" t="s">
        <v>633</v>
      </c>
      <c r="OCA77" t="s">
        <v>229</v>
      </c>
      <c r="OCB77" t="s">
        <v>633</v>
      </c>
      <c r="OCC77" t="s">
        <v>229</v>
      </c>
      <c r="OCD77" t="s">
        <v>633</v>
      </c>
      <c r="OCE77" t="s">
        <v>229</v>
      </c>
      <c r="OCF77" t="s">
        <v>633</v>
      </c>
      <c r="OCG77" t="s">
        <v>229</v>
      </c>
      <c r="OCH77" t="s">
        <v>633</v>
      </c>
      <c r="OCI77" t="s">
        <v>229</v>
      </c>
      <c r="OCJ77" t="s">
        <v>633</v>
      </c>
      <c r="OCK77" t="s">
        <v>229</v>
      </c>
      <c r="OCL77" t="s">
        <v>633</v>
      </c>
      <c r="OCM77" t="s">
        <v>229</v>
      </c>
      <c r="OCN77" t="s">
        <v>633</v>
      </c>
      <c r="OCO77" t="s">
        <v>229</v>
      </c>
      <c r="OCP77" t="s">
        <v>633</v>
      </c>
      <c r="OCQ77" t="s">
        <v>229</v>
      </c>
      <c r="OCR77" t="s">
        <v>633</v>
      </c>
      <c r="OCS77" t="s">
        <v>229</v>
      </c>
      <c r="OCT77" t="s">
        <v>633</v>
      </c>
      <c r="OCU77" t="s">
        <v>229</v>
      </c>
      <c r="OCV77" t="s">
        <v>633</v>
      </c>
      <c r="OCW77" t="s">
        <v>229</v>
      </c>
      <c r="OCX77" t="s">
        <v>633</v>
      </c>
      <c r="OCY77" t="s">
        <v>229</v>
      </c>
      <c r="OCZ77" t="s">
        <v>633</v>
      </c>
      <c r="ODA77" t="s">
        <v>229</v>
      </c>
      <c r="ODB77" t="s">
        <v>633</v>
      </c>
      <c r="ODC77" t="s">
        <v>229</v>
      </c>
      <c r="ODD77" t="s">
        <v>633</v>
      </c>
      <c r="ODE77" t="s">
        <v>229</v>
      </c>
      <c r="ODF77" t="s">
        <v>633</v>
      </c>
      <c r="ODG77" t="s">
        <v>229</v>
      </c>
      <c r="ODH77" t="s">
        <v>633</v>
      </c>
      <c r="ODI77" t="s">
        <v>229</v>
      </c>
      <c r="ODJ77" t="s">
        <v>633</v>
      </c>
      <c r="ODK77" t="s">
        <v>229</v>
      </c>
      <c r="ODL77" t="s">
        <v>633</v>
      </c>
      <c r="ODM77" t="s">
        <v>229</v>
      </c>
      <c r="ODN77" t="s">
        <v>633</v>
      </c>
      <c r="ODO77" t="s">
        <v>229</v>
      </c>
      <c r="ODP77" t="s">
        <v>633</v>
      </c>
      <c r="ODQ77" t="s">
        <v>229</v>
      </c>
      <c r="ODR77" t="s">
        <v>633</v>
      </c>
      <c r="ODS77" t="s">
        <v>229</v>
      </c>
      <c r="ODT77" t="s">
        <v>633</v>
      </c>
      <c r="ODU77" t="s">
        <v>229</v>
      </c>
      <c r="ODV77" t="s">
        <v>633</v>
      </c>
      <c r="ODW77" t="s">
        <v>229</v>
      </c>
      <c r="ODX77" t="s">
        <v>633</v>
      </c>
      <c r="ODY77" t="s">
        <v>229</v>
      </c>
      <c r="ODZ77" t="s">
        <v>633</v>
      </c>
      <c r="OEA77" t="s">
        <v>229</v>
      </c>
      <c r="OEB77" t="s">
        <v>633</v>
      </c>
      <c r="OEC77" t="s">
        <v>229</v>
      </c>
      <c r="OED77" t="s">
        <v>633</v>
      </c>
      <c r="OEE77" t="s">
        <v>229</v>
      </c>
      <c r="OEF77" t="s">
        <v>633</v>
      </c>
      <c r="OEG77" t="s">
        <v>229</v>
      </c>
      <c r="OEH77" t="s">
        <v>633</v>
      </c>
      <c r="OEI77" t="s">
        <v>229</v>
      </c>
      <c r="OEJ77" t="s">
        <v>633</v>
      </c>
      <c r="OEK77" t="s">
        <v>229</v>
      </c>
      <c r="OEL77" t="s">
        <v>633</v>
      </c>
      <c r="OEM77" t="s">
        <v>229</v>
      </c>
      <c r="OEN77" t="s">
        <v>633</v>
      </c>
      <c r="OEO77" t="s">
        <v>229</v>
      </c>
      <c r="OEP77" t="s">
        <v>633</v>
      </c>
      <c r="OEQ77" t="s">
        <v>229</v>
      </c>
      <c r="OER77" t="s">
        <v>633</v>
      </c>
      <c r="OES77" t="s">
        <v>229</v>
      </c>
      <c r="OET77" t="s">
        <v>633</v>
      </c>
      <c r="OEU77" t="s">
        <v>229</v>
      </c>
      <c r="OEV77" t="s">
        <v>633</v>
      </c>
      <c r="OEW77" t="s">
        <v>229</v>
      </c>
      <c r="OEX77" t="s">
        <v>633</v>
      </c>
      <c r="OEY77" t="s">
        <v>229</v>
      </c>
      <c r="OEZ77" t="s">
        <v>633</v>
      </c>
      <c r="OFA77" t="s">
        <v>229</v>
      </c>
      <c r="OFB77" t="s">
        <v>633</v>
      </c>
      <c r="OFC77" t="s">
        <v>229</v>
      </c>
      <c r="OFD77" t="s">
        <v>633</v>
      </c>
      <c r="OFE77" t="s">
        <v>229</v>
      </c>
      <c r="OFF77" t="s">
        <v>633</v>
      </c>
      <c r="OFG77" t="s">
        <v>229</v>
      </c>
      <c r="OFH77" t="s">
        <v>633</v>
      </c>
      <c r="OFI77" t="s">
        <v>229</v>
      </c>
      <c r="OFJ77" t="s">
        <v>633</v>
      </c>
      <c r="OFK77" t="s">
        <v>229</v>
      </c>
      <c r="OFL77" t="s">
        <v>633</v>
      </c>
      <c r="OFM77" t="s">
        <v>229</v>
      </c>
      <c r="OFN77" t="s">
        <v>633</v>
      </c>
      <c r="OFO77" t="s">
        <v>229</v>
      </c>
      <c r="OFP77" t="s">
        <v>633</v>
      </c>
      <c r="OFQ77" t="s">
        <v>229</v>
      </c>
      <c r="OFR77" t="s">
        <v>633</v>
      </c>
      <c r="OFS77" t="s">
        <v>229</v>
      </c>
      <c r="OFT77" t="s">
        <v>633</v>
      </c>
      <c r="OFU77" t="s">
        <v>229</v>
      </c>
      <c r="OFV77" t="s">
        <v>633</v>
      </c>
      <c r="OFW77" t="s">
        <v>229</v>
      </c>
      <c r="OFX77" t="s">
        <v>633</v>
      </c>
      <c r="OFY77" t="s">
        <v>229</v>
      </c>
      <c r="OFZ77" t="s">
        <v>633</v>
      </c>
      <c r="OGA77" t="s">
        <v>229</v>
      </c>
      <c r="OGB77" t="s">
        <v>633</v>
      </c>
      <c r="OGC77" t="s">
        <v>229</v>
      </c>
      <c r="OGD77" t="s">
        <v>633</v>
      </c>
      <c r="OGE77" t="s">
        <v>229</v>
      </c>
      <c r="OGF77" t="s">
        <v>633</v>
      </c>
      <c r="OGG77" t="s">
        <v>229</v>
      </c>
      <c r="OGH77" t="s">
        <v>633</v>
      </c>
      <c r="OGI77" t="s">
        <v>229</v>
      </c>
      <c r="OGJ77" t="s">
        <v>633</v>
      </c>
      <c r="OGK77" t="s">
        <v>229</v>
      </c>
      <c r="OGL77" t="s">
        <v>633</v>
      </c>
      <c r="OGM77" t="s">
        <v>229</v>
      </c>
      <c r="OGN77" t="s">
        <v>633</v>
      </c>
      <c r="OGO77" t="s">
        <v>229</v>
      </c>
      <c r="OGP77" t="s">
        <v>633</v>
      </c>
      <c r="OGQ77" t="s">
        <v>229</v>
      </c>
      <c r="OGR77" t="s">
        <v>633</v>
      </c>
      <c r="OGS77" t="s">
        <v>229</v>
      </c>
      <c r="OGT77" t="s">
        <v>633</v>
      </c>
      <c r="OGU77" t="s">
        <v>229</v>
      </c>
      <c r="OGV77" t="s">
        <v>633</v>
      </c>
      <c r="OGW77" t="s">
        <v>229</v>
      </c>
      <c r="OGX77" t="s">
        <v>633</v>
      </c>
      <c r="OGY77" t="s">
        <v>229</v>
      </c>
      <c r="OGZ77" t="s">
        <v>633</v>
      </c>
      <c r="OHA77" t="s">
        <v>229</v>
      </c>
      <c r="OHB77" t="s">
        <v>633</v>
      </c>
      <c r="OHC77" t="s">
        <v>229</v>
      </c>
      <c r="OHD77" t="s">
        <v>633</v>
      </c>
      <c r="OHE77" t="s">
        <v>229</v>
      </c>
      <c r="OHF77" t="s">
        <v>633</v>
      </c>
      <c r="OHG77" t="s">
        <v>229</v>
      </c>
      <c r="OHH77" t="s">
        <v>633</v>
      </c>
      <c r="OHI77" t="s">
        <v>229</v>
      </c>
      <c r="OHJ77" t="s">
        <v>633</v>
      </c>
      <c r="OHK77" t="s">
        <v>229</v>
      </c>
      <c r="OHL77" t="s">
        <v>633</v>
      </c>
      <c r="OHM77" t="s">
        <v>229</v>
      </c>
      <c r="OHN77" t="s">
        <v>633</v>
      </c>
      <c r="OHO77" t="s">
        <v>229</v>
      </c>
      <c r="OHP77" t="s">
        <v>633</v>
      </c>
      <c r="OHQ77" t="s">
        <v>229</v>
      </c>
      <c r="OHR77" t="s">
        <v>633</v>
      </c>
      <c r="OHS77" t="s">
        <v>229</v>
      </c>
      <c r="OHT77" t="s">
        <v>633</v>
      </c>
      <c r="OHU77" t="s">
        <v>229</v>
      </c>
      <c r="OHV77" t="s">
        <v>633</v>
      </c>
      <c r="OHW77" t="s">
        <v>229</v>
      </c>
      <c r="OHX77" t="s">
        <v>633</v>
      </c>
      <c r="OHY77" t="s">
        <v>229</v>
      </c>
      <c r="OHZ77" t="s">
        <v>633</v>
      </c>
      <c r="OIA77" t="s">
        <v>229</v>
      </c>
      <c r="OIB77" t="s">
        <v>633</v>
      </c>
      <c r="OIC77" t="s">
        <v>229</v>
      </c>
      <c r="OID77" t="s">
        <v>633</v>
      </c>
      <c r="OIE77" t="s">
        <v>229</v>
      </c>
      <c r="OIF77" t="s">
        <v>633</v>
      </c>
      <c r="OIG77" t="s">
        <v>229</v>
      </c>
      <c r="OIH77" t="s">
        <v>633</v>
      </c>
      <c r="OII77" t="s">
        <v>229</v>
      </c>
      <c r="OIJ77" t="s">
        <v>633</v>
      </c>
      <c r="OIK77" t="s">
        <v>229</v>
      </c>
      <c r="OIL77" t="s">
        <v>633</v>
      </c>
      <c r="OIM77" t="s">
        <v>229</v>
      </c>
      <c r="OIN77" t="s">
        <v>633</v>
      </c>
      <c r="OIO77" t="s">
        <v>229</v>
      </c>
      <c r="OIP77" t="s">
        <v>633</v>
      </c>
      <c r="OIQ77" t="s">
        <v>229</v>
      </c>
      <c r="OIR77" t="s">
        <v>633</v>
      </c>
      <c r="OIS77" t="s">
        <v>229</v>
      </c>
      <c r="OIT77" t="s">
        <v>633</v>
      </c>
      <c r="OIU77" t="s">
        <v>229</v>
      </c>
      <c r="OIV77" t="s">
        <v>633</v>
      </c>
      <c r="OIW77" t="s">
        <v>229</v>
      </c>
      <c r="OIX77" t="s">
        <v>633</v>
      </c>
      <c r="OIY77" t="s">
        <v>229</v>
      </c>
      <c r="OIZ77" t="s">
        <v>633</v>
      </c>
      <c r="OJA77" t="s">
        <v>229</v>
      </c>
      <c r="OJB77" t="s">
        <v>633</v>
      </c>
      <c r="OJC77" t="s">
        <v>229</v>
      </c>
      <c r="OJD77" t="s">
        <v>633</v>
      </c>
      <c r="OJE77" t="s">
        <v>229</v>
      </c>
      <c r="OJF77" t="s">
        <v>633</v>
      </c>
      <c r="OJG77" t="s">
        <v>229</v>
      </c>
      <c r="OJH77" t="s">
        <v>633</v>
      </c>
      <c r="OJI77" t="s">
        <v>229</v>
      </c>
      <c r="OJJ77" t="s">
        <v>633</v>
      </c>
      <c r="OJK77" t="s">
        <v>229</v>
      </c>
      <c r="OJL77" t="s">
        <v>633</v>
      </c>
      <c r="OJM77" t="s">
        <v>229</v>
      </c>
      <c r="OJN77" t="s">
        <v>633</v>
      </c>
      <c r="OJO77" t="s">
        <v>229</v>
      </c>
      <c r="OJP77" t="s">
        <v>633</v>
      </c>
      <c r="OJQ77" t="s">
        <v>229</v>
      </c>
      <c r="OJR77" t="s">
        <v>633</v>
      </c>
      <c r="OJS77" t="s">
        <v>229</v>
      </c>
      <c r="OJT77" t="s">
        <v>633</v>
      </c>
      <c r="OJU77" t="s">
        <v>229</v>
      </c>
      <c r="OJV77" t="s">
        <v>633</v>
      </c>
      <c r="OJW77" t="s">
        <v>229</v>
      </c>
      <c r="OJX77" t="s">
        <v>633</v>
      </c>
      <c r="OJY77" t="s">
        <v>229</v>
      </c>
      <c r="OJZ77" t="s">
        <v>633</v>
      </c>
      <c r="OKA77" t="s">
        <v>229</v>
      </c>
      <c r="OKB77" t="s">
        <v>633</v>
      </c>
      <c r="OKC77" t="s">
        <v>229</v>
      </c>
      <c r="OKD77" t="s">
        <v>633</v>
      </c>
      <c r="OKE77" t="s">
        <v>229</v>
      </c>
      <c r="OKF77" t="s">
        <v>633</v>
      </c>
      <c r="OKG77" t="s">
        <v>229</v>
      </c>
      <c r="OKH77" t="s">
        <v>633</v>
      </c>
      <c r="OKI77" t="s">
        <v>229</v>
      </c>
      <c r="OKJ77" t="s">
        <v>633</v>
      </c>
      <c r="OKK77" t="s">
        <v>229</v>
      </c>
      <c r="OKL77" t="s">
        <v>633</v>
      </c>
      <c r="OKM77" t="s">
        <v>229</v>
      </c>
      <c r="OKN77" t="s">
        <v>633</v>
      </c>
      <c r="OKO77" t="s">
        <v>229</v>
      </c>
      <c r="OKP77" t="s">
        <v>633</v>
      </c>
      <c r="OKQ77" t="s">
        <v>229</v>
      </c>
      <c r="OKR77" t="s">
        <v>633</v>
      </c>
      <c r="OKS77" t="s">
        <v>229</v>
      </c>
      <c r="OKT77" t="s">
        <v>633</v>
      </c>
      <c r="OKU77" t="s">
        <v>229</v>
      </c>
      <c r="OKV77" t="s">
        <v>633</v>
      </c>
      <c r="OKW77" t="s">
        <v>229</v>
      </c>
      <c r="OKX77" t="s">
        <v>633</v>
      </c>
      <c r="OKY77" t="s">
        <v>229</v>
      </c>
      <c r="OKZ77" t="s">
        <v>633</v>
      </c>
      <c r="OLA77" t="s">
        <v>229</v>
      </c>
      <c r="OLB77" t="s">
        <v>633</v>
      </c>
      <c r="OLC77" t="s">
        <v>229</v>
      </c>
      <c r="OLD77" t="s">
        <v>633</v>
      </c>
      <c r="OLE77" t="s">
        <v>229</v>
      </c>
      <c r="OLF77" t="s">
        <v>633</v>
      </c>
      <c r="OLG77" t="s">
        <v>229</v>
      </c>
      <c r="OLH77" t="s">
        <v>633</v>
      </c>
      <c r="OLI77" t="s">
        <v>229</v>
      </c>
      <c r="OLJ77" t="s">
        <v>633</v>
      </c>
      <c r="OLK77" t="s">
        <v>229</v>
      </c>
      <c r="OLL77" t="s">
        <v>633</v>
      </c>
      <c r="OLM77" t="s">
        <v>229</v>
      </c>
      <c r="OLN77" t="s">
        <v>633</v>
      </c>
      <c r="OLO77" t="s">
        <v>229</v>
      </c>
      <c r="OLP77" t="s">
        <v>633</v>
      </c>
      <c r="OLQ77" t="s">
        <v>229</v>
      </c>
      <c r="OLR77" t="s">
        <v>633</v>
      </c>
      <c r="OLS77" t="s">
        <v>229</v>
      </c>
      <c r="OLT77" t="s">
        <v>633</v>
      </c>
      <c r="OLU77" t="s">
        <v>229</v>
      </c>
      <c r="OLV77" t="s">
        <v>633</v>
      </c>
      <c r="OLW77" t="s">
        <v>229</v>
      </c>
      <c r="OLX77" t="s">
        <v>633</v>
      </c>
      <c r="OLY77" t="s">
        <v>229</v>
      </c>
      <c r="OLZ77" t="s">
        <v>633</v>
      </c>
      <c r="OMA77" t="s">
        <v>229</v>
      </c>
      <c r="OMB77" t="s">
        <v>633</v>
      </c>
      <c r="OMC77" t="s">
        <v>229</v>
      </c>
      <c r="OMD77" t="s">
        <v>633</v>
      </c>
      <c r="OME77" t="s">
        <v>229</v>
      </c>
      <c r="OMF77" t="s">
        <v>633</v>
      </c>
      <c r="OMG77" t="s">
        <v>229</v>
      </c>
      <c r="OMH77" t="s">
        <v>633</v>
      </c>
      <c r="OMI77" t="s">
        <v>229</v>
      </c>
      <c r="OMJ77" t="s">
        <v>633</v>
      </c>
      <c r="OMK77" t="s">
        <v>229</v>
      </c>
      <c r="OML77" t="s">
        <v>633</v>
      </c>
      <c r="OMM77" t="s">
        <v>229</v>
      </c>
      <c r="OMN77" t="s">
        <v>633</v>
      </c>
      <c r="OMO77" t="s">
        <v>229</v>
      </c>
      <c r="OMP77" t="s">
        <v>633</v>
      </c>
      <c r="OMQ77" t="s">
        <v>229</v>
      </c>
      <c r="OMR77" t="s">
        <v>633</v>
      </c>
      <c r="OMS77" t="s">
        <v>229</v>
      </c>
      <c r="OMT77" t="s">
        <v>633</v>
      </c>
      <c r="OMU77" t="s">
        <v>229</v>
      </c>
      <c r="OMV77" t="s">
        <v>633</v>
      </c>
      <c r="OMW77" t="s">
        <v>229</v>
      </c>
      <c r="OMX77" t="s">
        <v>633</v>
      </c>
      <c r="OMY77" t="s">
        <v>229</v>
      </c>
      <c r="OMZ77" t="s">
        <v>633</v>
      </c>
      <c r="ONA77" t="s">
        <v>229</v>
      </c>
      <c r="ONB77" t="s">
        <v>633</v>
      </c>
      <c r="ONC77" t="s">
        <v>229</v>
      </c>
      <c r="OND77" t="s">
        <v>633</v>
      </c>
      <c r="ONE77" t="s">
        <v>229</v>
      </c>
      <c r="ONF77" t="s">
        <v>633</v>
      </c>
      <c r="ONG77" t="s">
        <v>229</v>
      </c>
      <c r="ONH77" t="s">
        <v>633</v>
      </c>
      <c r="ONI77" t="s">
        <v>229</v>
      </c>
      <c r="ONJ77" t="s">
        <v>633</v>
      </c>
      <c r="ONK77" t="s">
        <v>229</v>
      </c>
      <c r="ONL77" t="s">
        <v>633</v>
      </c>
      <c r="ONM77" t="s">
        <v>229</v>
      </c>
      <c r="ONN77" t="s">
        <v>633</v>
      </c>
      <c r="ONO77" t="s">
        <v>229</v>
      </c>
      <c r="ONP77" t="s">
        <v>633</v>
      </c>
      <c r="ONQ77" t="s">
        <v>229</v>
      </c>
      <c r="ONR77" t="s">
        <v>633</v>
      </c>
      <c r="ONS77" t="s">
        <v>229</v>
      </c>
      <c r="ONT77" t="s">
        <v>633</v>
      </c>
      <c r="ONU77" t="s">
        <v>229</v>
      </c>
      <c r="ONV77" t="s">
        <v>633</v>
      </c>
      <c r="ONW77" t="s">
        <v>229</v>
      </c>
      <c r="ONX77" t="s">
        <v>633</v>
      </c>
      <c r="ONY77" t="s">
        <v>229</v>
      </c>
      <c r="ONZ77" t="s">
        <v>633</v>
      </c>
      <c r="OOA77" t="s">
        <v>229</v>
      </c>
      <c r="OOB77" t="s">
        <v>633</v>
      </c>
      <c r="OOC77" t="s">
        <v>229</v>
      </c>
      <c r="OOD77" t="s">
        <v>633</v>
      </c>
      <c r="OOE77" t="s">
        <v>229</v>
      </c>
      <c r="OOF77" t="s">
        <v>633</v>
      </c>
      <c r="OOG77" t="s">
        <v>229</v>
      </c>
      <c r="OOH77" t="s">
        <v>633</v>
      </c>
      <c r="OOI77" t="s">
        <v>229</v>
      </c>
      <c r="OOJ77" t="s">
        <v>633</v>
      </c>
      <c r="OOK77" t="s">
        <v>229</v>
      </c>
      <c r="OOL77" t="s">
        <v>633</v>
      </c>
      <c r="OOM77" t="s">
        <v>229</v>
      </c>
      <c r="OON77" t="s">
        <v>633</v>
      </c>
      <c r="OOO77" t="s">
        <v>229</v>
      </c>
      <c r="OOP77" t="s">
        <v>633</v>
      </c>
      <c r="OOQ77" t="s">
        <v>229</v>
      </c>
      <c r="OOR77" t="s">
        <v>633</v>
      </c>
      <c r="OOS77" t="s">
        <v>229</v>
      </c>
      <c r="OOT77" t="s">
        <v>633</v>
      </c>
      <c r="OOU77" t="s">
        <v>229</v>
      </c>
      <c r="OOV77" t="s">
        <v>633</v>
      </c>
      <c r="OOW77" t="s">
        <v>229</v>
      </c>
      <c r="OOX77" t="s">
        <v>633</v>
      </c>
      <c r="OOY77" t="s">
        <v>229</v>
      </c>
      <c r="OOZ77" t="s">
        <v>633</v>
      </c>
      <c r="OPA77" t="s">
        <v>229</v>
      </c>
      <c r="OPB77" t="s">
        <v>633</v>
      </c>
      <c r="OPC77" t="s">
        <v>229</v>
      </c>
      <c r="OPD77" t="s">
        <v>633</v>
      </c>
      <c r="OPE77" t="s">
        <v>229</v>
      </c>
      <c r="OPF77" t="s">
        <v>633</v>
      </c>
      <c r="OPG77" t="s">
        <v>229</v>
      </c>
      <c r="OPH77" t="s">
        <v>633</v>
      </c>
      <c r="OPI77" t="s">
        <v>229</v>
      </c>
      <c r="OPJ77" t="s">
        <v>633</v>
      </c>
      <c r="OPK77" t="s">
        <v>229</v>
      </c>
      <c r="OPL77" t="s">
        <v>633</v>
      </c>
      <c r="OPM77" t="s">
        <v>229</v>
      </c>
      <c r="OPN77" t="s">
        <v>633</v>
      </c>
      <c r="OPO77" t="s">
        <v>229</v>
      </c>
      <c r="OPP77" t="s">
        <v>633</v>
      </c>
      <c r="OPQ77" t="s">
        <v>229</v>
      </c>
      <c r="OPR77" t="s">
        <v>633</v>
      </c>
      <c r="OPS77" t="s">
        <v>229</v>
      </c>
      <c r="OPT77" t="s">
        <v>633</v>
      </c>
      <c r="OPU77" t="s">
        <v>229</v>
      </c>
      <c r="OPV77" t="s">
        <v>633</v>
      </c>
      <c r="OPW77" t="s">
        <v>229</v>
      </c>
      <c r="OPX77" t="s">
        <v>633</v>
      </c>
      <c r="OPY77" t="s">
        <v>229</v>
      </c>
      <c r="OPZ77" t="s">
        <v>633</v>
      </c>
      <c r="OQA77" t="s">
        <v>229</v>
      </c>
      <c r="OQB77" t="s">
        <v>633</v>
      </c>
      <c r="OQC77" t="s">
        <v>229</v>
      </c>
      <c r="OQD77" t="s">
        <v>633</v>
      </c>
      <c r="OQE77" t="s">
        <v>229</v>
      </c>
      <c r="OQF77" t="s">
        <v>633</v>
      </c>
      <c r="OQG77" t="s">
        <v>229</v>
      </c>
      <c r="OQH77" t="s">
        <v>633</v>
      </c>
      <c r="OQI77" t="s">
        <v>229</v>
      </c>
      <c r="OQJ77" t="s">
        <v>633</v>
      </c>
      <c r="OQK77" t="s">
        <v>229</v>
      </c>
      <c r="OQL77" t="s">
        <v>633</v>
      </c>
      <c r="OQM77" t="s">
        <v>229</v>
      </c>
      <c r="OQN77" t="s">
        <v>633</v>
      </c>
      <c r="OQO77" t="s">
        <v>229</v>
      </c>
      <c r="OQP77" t="s">
        <v>633</v>
      </c>
      <c r="OQQ77" t="s">
        <v>229</v>
      </c>
      <c r="OQR77" t="s">
        <v>633</v>
      </c>
      <c r="OQS77" t="s">
        <v>229</v>
      </c>
      <c r="OQT77" t="s">
        <v>633</v>
      </c>
      <c r="OQU77" t="s">
        <v>229</v>
      </c>
      <c r="OQV77" t="s">
        <v>633</v>
      </c>
      <c r="OQW77" t="s">
        <v>229</v>
      </c>
      <c r="OQX77" t="s">
        <v>633</v>
      </c>
      <c r="OQY77" t="s">
        <v>229</v>
      </c>
      <c r="OQZ77" t="s">
        <v>633</v>
      </c>
      <c r="ORA77" t="s">
        <v>229</v>
      </c>
      <c r="ORB77" t="s">
        <v>633</v>
      </c>
      <c r="ORC77" t="s">
        <v>229</v>
      </c>
      <c r="ORD77" t="s">
        <v>633</v>
      </c>
      <c r="ORE77" t="s">
        <v>229</v>
      </c>
      <c r="ORF77" t="s">
        <v>633</v>
      </c>
      <c r="ORG77" t="s">
        <v>229</v>
      </c>
      <c r="ORH77" t="s">
        <v>633</v>
      </c>
      <c r="ORI77" t="s">
        <v>229</v>
      </c>
      <c r="ORJ77" t="s">
        <v>633</v>
      </c>
      <c r="ORK77" t="s">
        <v>229</v>
      </c>
      <c r="ORL77" t="s">
        <v>633</v>
      </c>
      <c r="ORM77" t="s">
        <v>229</v>
      </c>
      <c r="ORN77" t="s">
        <v>633</v>
      </c>
      <c r="ORO77" t="s">
        <v>229</v>
      </c>
      <c r="ORP77" t="s">
        <v>633</v>
      </c>
      <c r="ORQ77" t="s">
        <v>229</v>
      </c>
      <c r="ORR77" t="s">
        <v>633</v>
      </c>
      <c r="ORS77" t="s">
        <v>229</v>
      </c>
      <c r="ORT77" t="s">
        <v>633</v>
      </c>
      <c r="ORU77" t="s">
        <v>229</v>
      </c>
      <c r="ORV77" t="s">
        <v>633</v>
      </c>
      <c r="ORW77" t="s">
        <v>229</v>
      </c>
      <c r="ORX77" t="s">
        <v>633</v>
      </c>
      <c r="ORY77" t="s">
        <v>229</v>
      </c>
      <c r="ORZ77" t="s">
        <v>633</v>
      </c>
      <c r="OSA77" t="s">
        <v>229</v>
      </c>
      <c r="OSB77" t="s">
        <v>633</v>
      </c>
      <c r="OSC77" t="s">
        <v>229</v>
      </c>
      <c r="OSD77" t="s">
        <v>633</v>
      </c>
      <c r="OSE77" t="s">
        <v>229</v>
      </c>
      <c r="OSF77" t="s">
        <v>633</v>
      </c>
      <c r="OSG77" t="s">
        <v>229</v>
      </c>
      <c r="OSH77" t="s">
        <v>633</v>
      </c>
      <c r="OSI77" t="s">
        <v>229</v>
      </c>
      <c r="OSJ77" t="s">
        <v>633</v>
      </c>
      <c r="OSK77" t="s">
        <v>229</v>
      </c>
      <c r="OSL77" t="s">
        <v>633</v>
      </c>
      <c r="OSM77" t="s">
        <v>229</v>
      </c>
      <c r="OSN77" t="s">
        <v>633</v>
      </c>
      <c r="OSO77" t="s">
        <v>229</v>
      </c>
      <c r="OSP77" t="s">
        <v>633</v>
      </c>
      <c r="OSQ77" t="s">
        <v>229</v>
      </c>
      <c r="OSR77" t="s">
        <v>633</v>
      </c>
      <c r="OSS77" t="s">
        <v>229</v>
      </c>
      <c r="OST77" t="s">
        <v>633</v>
      </c>
      <c r="OSU77" t="s">
        <v>229</v>
      </c>
      <c r="OSV77" t="s">
        <v>633</v>
      </c>
      <c r="OSW77" t="s">
        <v>229</v>
      </c>
      <c r="OSX77" t="s">
        <v>633</v>
      </c>
      <c r="OSY77" t="s">
        <v>229</v>
      </c>
      <c r="OSZ77" t="s">
        <v>633</v>
      </c>
      <c r="OTA77" t="s">
        <v>229</v>
      </c>
      <c r="OTB77" t="s">
        <v>633</v>
      </c>
      <c r="OTC77" t="s">
        <v>229</v>
      </c>
      <c r="OTD77" t="s">
        <v>633</v>
      </c>
      <c r="OTE77" t="s">
        <v>229</v>
      </c>
      <c r="OTF77" t="s">
        <v>633</v>
      </c>
      <c r="OTG77" t="s">
        <v>229</v>
      </c>
      <c r="OTH77" t="s">
        <v>633</v>
      </c>
      <c r="OTI77" t="s">
        <v>229</v>
      </c>
      <c r="OTJ77" t="s">
        <v>633</v>
      </c>
      <c r="OTK77" t="s">
        <v>229</v>
      </c>
      <c r="OTL77" t="s">
        <v>633</v>
      </c>
      <c r="OTM77" t="s">
        <v>229</v>
      </c>
      <c r="OTN77" t="s">
        <v>633</v>
      </c>
      <c r="OTO77" t="s">
        <v>229</v>
      </c>
      <c r="OTP77" t="s">
        <v>633</v>
      </c>
      <c r="OTQ77" t="s">
        <v>229</v>
      </c>
      <c r="OTR77" t="s">
        <v>633</v>
      </c>
      <c r="OTS77" t="s">
        <v>229</v>
      </c>
      <c r="OTT77" t="s">
        <v>633</v>
      </c>
      <c r="OTU77" t="s">
        <v>229</v>
      </c>
      <c r="OTV77" t="s">
        <v>633</v>
      </c>
      <c r="OTW77" t="s">
        <v>229</v>
      </c>
      <c r="OTX77" t="s">
        <v>633</v>
      </c>
      <c r="OTY77" t="s">
        <v>229</v>
      </c>
      <c r="OTZ77" t="s">
        <v>633</v>
      </c>
      <c r="OUA77" t="s">
        <v>229</v>
      </c>
      <c r="OUB77" t="s">
        <v>633</v>
      </c>
      <c r="OUC77" t="s">
        <v>229</v>
      </c>
      <c r="OUD77" t="s">
        <v>633</v>
      </c>
      <c r="OUE77" t="s">
        <v>229</v>
      </c>
      <c r="OUF77" t="s">
        <v>633</v>
      </c>
      <c r="OUG77" t="s">
        <v>229</v>
      </c>
      <c r="OUH77" t="s">
        <v>633</v>
      </c>
      <c r="OUI77" t="s">
        <v>229</v>
      </c>
      <c r="OUJ77" t="s">
        <v>633</v>
      </c>
      <c r="OUK77" t="s">
        <v>229</v>
      </c>
      <c r="OUL77" t="s">
        <v>633</v>
      </c>
      <c r="OUM77" t="s">
        <v>229</v>
      </c>
      <c r="OUN77" t="s">
        <v>633</v>
      </c>
      <c r="OUO77" t="s">
        <v>229</v>
      </c>
      <c r="OUP77" t="s">
        <v>633</v>
      </c>
      <c r="OUQ77" t="s">
        <v>229</v>
      </c>
      <c r="OUR77" t="s">
        <v>633</v>
      </c>
      <c r="OUS77" t="s">
        <v>229</v>
      </c>
      <c r="OUT77" t="s">
        <v>633</v>
      </c>
      <c r="OUU77" t="s">
        <v>229</v>
      </c>
      <c r="OUV77" t="s">
        <v>633</v>
      </c>
      <c r="OUW77" t="s">
        <v>229</v>
      </c>
      <c r="OUX77" t="s">
        <v>633</v>
      </c>
      <c r="OUY77" t="s">
        <v>229</v>
      </c>
      <c r="OUZ77" t="s">
        <v>633</v>
      </c>
      <c r="OVA77" t="s">
        <v>229</v>
      </c>
      <c r="OVB77" t="s">
        <v>633</v>
      </c>
      <c r="OVC77" t="s">
        <v>229</v>
      </c>
      <c r="OVD77" t="s">
        <v>633</v>
      </c>
      <c r="OVE77" t="s">
        <v>229</v>
      </c>
      <c r="OVF77" t="s">
        <v>633</v>
      </c>
      <c r="OVG77" t="s">
        <v>229</v>
      </c>
      <c r="OVH77" t="s">
        <v>633</v>
      </c>
      <c r="OVI77" t="s">
        <v>229</v>
      </c>
      <c r="OVJ77" t="s">
        <v>633</v>
      </c>
      <c r="OVK77" t="s">
        <v>229</v>
      </c>
      <c r="OVL77" t="s">
        <v>633</v>
      </c>
      <c r="OVM77" t="s">
        <v>229</v>
      </c>
      <c r="OVN77" t="s">
        <v>633</v>
      </c>
      <c r="OVO77" t="s">
        <v>229</v>
      </c>
      <c r="OVP77" t="s">
        <v>633</v>
      </c>
      <c r="OVQ77" t="s">
        <v>229</v>
      </c>
      <c r="OVR77" t="s">
        <v>633</v>
      </c>
      <c r="OVS77" t="s">
        <v>229</v>
      </c>
      <c r="OVT77" t="s">
        <v>633</v>
      </c>
      <c r="OVU77" t="s">
        <v>229</v>
      </c>
      <c r="OVV77" t="s">
        <v>633</v>
      </c>
      <c r="OVW77" t="s">
        <v>229</v>
      </c>
      <c r="OVX77" t="s">
        <v>633</v>
      </c>
      <c r="OVY77" t="s">
        <v>229</v>
      </c>
      <c r="OVZ77" t="s">
        <v>633</v>
      </c>
      <c r="OWA77" t="s">
        <v>229</v>
      </c>
      <c r="OWB77" t="s">
        <v>633</v>
      </c>
      <c r="OWC77" t="s">
        <v>229</v>
      </c>
      <c r="OWD77" t="s">
        <v>633</v>
      </c>
      <c r="OWE77" t="s">
        <v>229</v>
      </c>
      <c r="OWF77" t="s">
        <v>633</v>
      </c>
      <c r="OWG77" t="s">
        <v>229</v>
      </c>
      <c r="OWH77" t="s">
        <v>633</v>
      </c>
      <c r="OWI77" t="s">
        <v>229</v>
      </c>
      <c r="OWJ77" t="s">
        <v>633</v>
      </c>
      <c r="OWK77" t="s">
        <v>229</v>
      </c>
      <c r="OWL77" t="s">
        <v>633</v>
      </c>
      <c r="OWM77" t="s">
        <v>229</v>
      </c>
      <c r="OWN77" t="s">
        <v>633</v>
      </c>
      <c r="OWO77" t="s">
        <v>229</v>
      </c>
      <c r="OWP77" t="s">
        <v>633</v>
      </c>
      <c r="OWQ77" t="s">
        <v>229</v>
      </c>
      <c r="OWR77" t="s">
        <v>633</v>
      </c>
      <c r="OWS77" t="s">
        <v>229</v>
      </c>
      <c r="OWT77" t="s">
        <v>633</v>
      </c>
      <c r="OWU77" t="s">
        <v>229</v>
      </c>
      <c r="OWV77" t="s">
        <v>633</v>
      </c>
      <c r="OWW77" t="s">
        <v>229</v>
      </c>
      <c r="OWX77" t="s">
        <v>633</v>
      </c>
      <c r="OWY77" t="s">
        <v>229</v>
      </c>
      <c r="OWZ77" t="s">
        <v>633</v>
      </c>
      <c r="OXA77" t="s">
        <v>229</v>
      </c>
      <c r="OXB77" t="s">
        <v>633</v>
      </c>
      <c r="OXC77" t="s">
        <v>229</v>
      </c>
      <c r="OXD77" t="s">
        <v>633</v>
      </c>
      <c r="OXE77" t="s">
        <v>229</v>
      </c>
      <c r="OXF77" t="s">
        <v>633</v>
      </c>
      <c r="OXG77" t="s">
        <v>229</v>
      </c>
      <c r="OXH77" t="s">
        <v>633</v>
      </c>
      <c r="OXI77" t="s">
        <v>229</v>
      </c>
      <c r="OXJ77" t="s">
        <v>633</v>
      </c>
      <c r="OXK77" t="s">
        <v>229</v>
      </c>
      <c r="OXL77" t="s">
        <v>633</v>
      </c>
      <c r="OXM77" t="s">
        <v>229</v>
      </c>
      <c r="OXN77" t="s">
        <v>633</v>
      </c>
      <c r="OXO77" t="s">
        <v>229</v>
      </c>
      <c r="OXP77" t="s">
        <v>633</v>
      </c>
      <c r="OXQ77" t="s">
        <v>229</v>
      </c>
      <c r="OXR77" t="s">
        <v>633</v>
      </c>
      <c r="OXS77" t="s">
        <v>229</v>
      </c>
      <c r="OXT77" t="s">
        <v>633</v>
      </c>
      <c r="OXU77" t="s">
        <v>229</v>
      </c>
      <c r="OXV77" t="s">
        <v>633</v>
      </c>
      <c r="OXW77" t="s">
        <v>229</v>
      </c>
      <c r="OXX77" t="s">
        <v>633</v>
      </c>
      <c r="OXY77" t="s">
        <v>229</v>
      </c>
      <c r="OXZ77" t="s">
        <v>633</v>
      </c>
      <c r="OYA77" t="s">
        <v>229</v>
      </c>
      <c r="OYB77" t="s">
        <v>633</v>
      </c>
      <c r="OYC77" t="s">
        <v>229</v>
      </c>
      <c r="OYD77" t="s">
        <v>633</v>
      </c>
      <c r="OYE77" t="s">
        <v>229</v>
      </c>
      <c r="OYF77" t="s">
        <v>633</v>
      </c>
      <c r="OYG77" t="s">
        <v>229</v>
      </c>
      <c r="OYH77" t="s">
        <v>633</v>
      </c>
      <c r="OYI77" t="s">
        <v>229</v>
      </c>
      <c r="OYJ77" t="s">
        <v>633</v>
      </c>
      <c r="OYK77" t="s">
        <v>229</v>
      </c>
      <c r="OYL77" t="s">
        <v>633</v>
      </c>
      <c r="OYM77" t="s">
        <v>229</v>
      </c>
      <c r="OYN77" t="s">
        <v>633</v>
      </c>
      <c r="OYO77" t="s">
        <v>229</v>
      </c>
      <c r="OYP77" t="s">
        <v>633</v>
      </c>
      <c r="OYQ77" t="s">
        <v>229</v>
      </c>
      <c r="OYR77" t="s">
        <v>633</v>
      </c>
      <c r="OYS77" t="s">
        <v>229</v>
      </c>
      <c r="OYT77" t="s">
        <v>633</v>
      </c>
      <c r="OYU77" t="s">
        <v>229</v>
      </c>
      <c r="OYV77" t="s">
        <v>633</v>
      </c>
      <c r="OYW77" t="s">
        <v>229</v>
      </c>
      <c r="OYX77" t="s">
        <v>633</v>
      </c>
      <c r="OYY77" t="s">
        <v>229</v>
      </c>
      <c r="OYZ77" t="s">
        <v>633</v>
      </c>
      <c r="OZA77" t="s">
        <v>229</v>
      </c>
      <c r="OZB77" t="s">
        <v>633</v>
      </c>
      <c r="OZC77" t="s">
        <v>229</v>
      </c>
      <c r="OZD77" t="s">
        <v>633</v>
      </c>
      <c r="OZE77" t="s">
        <v>229</v>
      </c>
      <c r="OZF77" t="s">
        <v>633</v>
      </c>
      <c r="OZG77" t="s">
        <v>229</v>
      </c>
      <c r="OZH77" t="s">
        <v>633</v>
      </c>
      <c r="OZI77" t="s">
        <v>229</v>
      </c>
      <c r="OZJ77" t="s">
        <v>633</v>
      </c>
      <c r="OZK77" t="s">
        <v>229</v>
      </c>
      <c r="OZL77" t="s">
        <v>633</v>
      </c>
      <c r="OZM77" t="s">
        <v>229</v>
      </c>
      <c r="OZN77" t="s">
        <v>633</v>
      </c>
      <c r="OZO77" t="s">
        <v>229</v>
      </c>
      <c r="OZP77" t="s">
        <v>633</v>
      </c>
      <c r="OZQ77" t="s">
        <v>229</v>
      </c>
      <c r="OZR77" t="s">
        <v>633</v>
      </c>
      <c r="OZS77" t="s">
        <v>229</v>
      </c>
      <c r="OZT77" t="s">
        <v>633</v>
      </c>
      <c r="OZU77" t="s">
        <v>229</v>
      </c>
      <c r="OZV77" t="s">
        <v>633</v>
      </c>
      <c r="OZW77" t="s">
        <v>229</v>
      </c>
      <c r="OZX77" t="s">
        <v>633</v>
      </c>
      <c r="OZY77" t="s">
        <v>229</v>
      </c>
      <c r="OZZ77" t="s">
        <v>633</v>
      </c>
      <c r="PAA77" t="s">
        <v>229</v>
      </c>
      <c r="PAB77" t="s">
        <v>633</v>
      </c>
      <c r="PAC77" t="s">
        <v>229</v>
      </c>
      <c r="PAD77" t="s">
        <v>633</v>
      </c>
      <c r="PAE77" t="s">
        <v>229</v>
      </c>
      <c r="PAF77" t="s">
        <v>633</v>
      </c>
      <c r="PAG77" t="s">
        <v>229</v>
      </c>
      <c r="PAH77" t="s">
        <v>633</v>
      </c>
      <c r="PAI77" t="s">
        <v>229</v>
      </c>
      <c r="PAJ77" t="s">
        <v>633</v>
      </c>
      <c r="PAK77" t="s">
        <v>229</v>
      </c>
      <c r="PAL77" t="s">
        <v>633</v>
      </c>
      <c r="PAM77" t="s">
        <v>229</v>
      </c>
      <c r="PAN77" t="s">
        <v>633</v>
      </c>
      <c r="PAO77" t="s">
        <v>229</v>
      </c>
      <c r="PAP77" t="s">
        <v>633</v>
      </c>
      <c r="PAQ77" t="s">
        <v>229</v>
      </c>
      <c r="PAR77" t="s">
        <v>633</v>
      </c>
      <c r="PAS77" t="s">
        <v>229</v>
      </c>
      <c r="PAT77" t="s">
        <v>633</v>
      </c>
      <c r="PAU77" t="s">
        <v>229</v>
      </c>
      <c r="PAV77" t="s">
        <v>633</v>
      </c>
      <c r="PAW77" t="s">
        <v>229</v>
      </c>
      <c r="PAX77" t="s">
        <v>633</v>
      </c>
      <c r="PAY77" t="s">
        <v>229</v>
      </c>
      <c r="PAZ77" t="s">
        <v>633</v>
      </c>
      <c r="PBA77" t="s">
        <v>229</v>
      </c>
      <c r="PBB77" t="s">
        <v>633</v>
      </c>
      <c r="PBC77" t="s">
        <v>229</v>
      </c>
      <c r="PBD77" t="s">
        <v>633</v>
      </c>
      <c r="PBE77" t="s">
        <v>229</v>
      </c>
      <c r="PBF77" t="s">
        <v>633</v>
      </c>
      <c r="PBG77" t="s">
        <v>229</v>
      </c>
      <c r="PBH77" t="s">
        <v>633</v>
      </c>
      <c r="PBI77" t="s">
        <v>229</v>
      </c>
      <c r="PBJ77" t="s">
        <v>633</v>
      </c>
      <c r="PBK77" t="s">
        <v>229</v>
      </c>
      <c r="PBL77" t="s">
        <v>633</v>
      </c>
      <c r="PBM77" t="s">
        <v>229</v>
      </c>
      <c r="PBN77" t="s">
        <v>633</v>
      </c>
      <c r="PBO77" t="s">
        <v>229</v>
      </c>
      <c r="PBP77" t="s">
        <v>633</v>
      </c>
      <c r="PBQ77" t="s">
        <v>229</v>
      </c>
      <c r="PBR77" t="s">
        <v>633</v>
      </c>
      <c r="PBS77" t="s">
        <v>229</v>
      </c>
      <c r="PBT77" t="s">
        <v>633</v>
      </c>
      <c r="PBU77" t="s">
        <v>229</v>
      </c>
      <c r="PBV77" t="s">
        <v>633</v>
      </c>
      <c r="PBW77" t="s">
        <v>229</v>
      </c>
      <c r="PBX77" t="s">
        <v>633</v>
      </c>
      <c r="PBY77" t="s">
        <v>229</v>
      </c>
      <c r="PBZ77" t="s">
        <v>633</v>
      </c>
      <c r="PCA77" t="s">
        <v>229</v>
      </c>
      <c r="PCB77" t="s">
        <v>633</v>
      </c>
      <c r="PCC77" t="s">
        <v>229</v>
      </c>
      <c r="PCD77" t="s">
        <v>633</v>
      </c>
      <c r="PCE77" t="s">
        <v>229</v>
      </c>
      <c r="PCF77" t="s">
        <v>633</v>
      </c>
      <c r="PCG77" t="s">
        <v>229</v>
      </c>
      <c r="PCH77" t="s">
        <v>633</v>
      </c>
      <c r="PCI77" t="s">
        <v>229</v>
      </c>
      <c r="PCJ77" t="s">
        <v>633</v>
      </c>
      <c r="PCK77" t="s">
        <v>229</v>
      </c>
      <c r="PCL77" t="s">
        <v>633</v>
      </c>
      <c r="PCM77" t="s">
        <v>229</v>
      </c>
      <c r="PCN77" t="s">
        <v>633</v>
      </c>
      <c r="PCO77" t="s">
        <v>229</v>
      </c>
      <c r="PCP77" t="s">
        <v>633</v>
      </c>
      <c r="PCQ77" t="s">
        <v>229</v>
      </c>
      <c r="PCR77" t="s">
        <v>633</v>
      </c>
      <c r="PCS77" t="s">
        <v>229</v>
      </c>
      <c r="PCT77" t="s">
        <v>633</v>
      </c>
      <c r="PCU77" t="s">
        <v>229</v>
      </c>
      <c r="PCV77" t="s">
        <v>633</v>
      </c>
      <c r="PCW77" t="s">
        <v>229</v>
      </c>
      <c r="PCX77" t="s">
        <v>633</v>
      </c>
      <c r="PCY77" t="s">
        <v>229</v>
      </c>
      <c r="PCZ77" t="s">
        <v>633</v>
      </c>
      <c r="PDA77" t="s">
        <v>229</v>
      </c>
      <c r="PDB77" t="s">
        <v>633</v>
      </c>
      <c r="PDC77" t="s">
        <v>229</v>
      </c>
      <c r="PDD77" t="s">
        <v>633</v>
      </c>
      <c r="PDE77" t="s">
        <v>229</v>
      </c>
      <c r="PDF77" t="s">
        <v>633</v>
      </c>
      <c r="PDG77" t="s">
        <v>229</v>
      </c>
      <c r="PDH77" t="s">
        <v>633</v>
      </c>
      <c r="PDI77" t="s">
        <v>229</v>
      </c>
      <c r="PDJ77" t="s">
        <v>633</v>
      </c>
      <c r="PDK77" t="s">
        <v>229</v>
      </c>
      <c r="PDL77" t="s">
        <v>633</v>
      </c>
      <c r="PDM77" t="s">
        <v>229</v>
      </c>
      <c r="PDN77" t="s">
        <v>633</v>
      </c>
      <c r="PDO77" t="s">
        <v>229</v>
      </c>
      <c r="PDP77" t="s">
        <v>633</v>
      </c>
      <c r="PDQ77" t="s">
        <v>229</v>
      </c>
      <c r="PDR77" t="s">
        <v>633</v>
      </c>
      <c r="PDS77" t="s">
        <v>229</v>
      </c>
      <c r="PDT77" t="s">
        <v>633</v>
      </c>
      <c r="PDU77" t="s">
        <v>229</v>
      </c>
      <c r="PDV77" t="s">
        <v>633</v>
      </c>
      <c r="PDW77" t="s">
        <v>229</v>
      </c>
      <c r="PDX77" t="s">
        <v>633</v>
      </c>
      <c r="PDY77" t="s">
        <v>229</v>
      </c>
      <c r="PDZ77" t="s">
        <v>633</v>
      </c>
      <c r="PEA77" t="s">
        <v>229</v>
      </c>
      <c r="PEB77" t="s">
        <v>633</v>
      </c>
      <c r="PEC77" t="s">
        <v>229</v>
      </c>
      <c r="PED77" t="s">
        <v>633</v>
      </c>
      <c r="PEE77" t="s">
        <v>229</v>
      </c>
      <c r="PEF77" t="s">
        <v>633</v>
      </c>
      <c r="PEG77" t="s">
        <v>229</v>
      </c>
      <c r="PEH77" t="s">
        <v>633</v>
      </c>
      <c r="PEI77" t="s">
        <v>229</v>
      </c>
      <c r="PEJ77" t="s">
        <v>633</v>
      </c>
      <c r="PEK77" t="s">
        <v>229</v>
      </c>
      <c r="PEL77" t="s">
        <v>633</v>
      </c>
      <c r="PEM77" t="s">
        <v>229</v>
      </c>
      <c r="PEN77" t="s">
        <v>633</v>
      </c>
      <c r="PEO77" t="s">
        <v>229</v>
      </c>
      <c r="PEP77" t="s">
        <v>633</v>
      </c>
      <c r="PEQ77" t="s">
        <v>229</v>
      </c>
      <c r="PER77" t="s">
        <v>633</v>
      </c>
      <c r="PES77" t="s">
        <v>229</v>
      </c>
      <c r="PET77" t="s">
        <v>633</v>
      </c>
      <c r="PEU77" t="s">
        <v>229</v>
      </c>
      <c r="PEV77" t="s">
        <v>633</v>
      </c>
      <c r="PEW77" t="s">
        <v>229</v>
      </c>
      <c r="PEX77" t="s">
        <v>633</v>
      </c>
      <c r="PEY77" t="s">
        <v>229</v>
      </c>
      <c r="PEZ77" t="s">
        <v>633</v>
      </c>
      <c r="PFA77" t="s">
        <v>229</v>
      </c>
      <c r="PFB77" t="s">
        <v>633</v>
      </c>
      <c r="PFC77" t="s">
        <v>229</v>
      </c>
      <c r="PFD77" t="s">
        <v>633</v>
      </c>
      <c r="PFE77" t="s">
        <v>229</v>
      </c>
      <c r="PFF77" t="s">
        <v>633</v>
      </c>
      <c r="PFG77" t="s">
        <v>229</v>
      </c>
      <c r="PFH77" t="s">
        <v>633</v>
      </c>
      <c r="PFI77" t="s">
        <v>229</v>
      </c>
      <c r="PFJ77" t="s">
        <v>633</v>
      </c>
      <c r="PFK77" t="s">
        <v>229</v>
      </c>
      <c r="PFL77" t="s">
        <v>633</v>
      </c>
      <c r="PFM77" t="s">
        <v>229</v>
      </c>
      <c r="PFN77" t="s">
        <v>633</v>
      </c>
      <c r="PFO77" t="s">
        <v>229</v>
      </c>
      <c r="PFP77" t="s">
        <v>633</v>
      </c>
      <c r="PFQ77" t="s">
        <v>229</v>
      </c>
      <c r="PFR77" t="s">
        <v>633</v>
      </c>
      <c r="PFS77" t="s">
        <v>229</v>
      </c>
      <c r="PFT77" t="s">
        <v>633</v>
      </c>
      <c r="PFU77" t="s">
        <v>229</v>
      </c>
      <c r="PFV77" t="s">
        <v>633</v>
      </c>
      <c r="PFW77" t="s">
        <v>229</v>
      </c>
      <c r="PFX77" t="s">
        <v>633</v>
      </c>
      <c r="PFY77" t="s">
        <v>229</v>
      </c>
      <c r="PFZ77" t="s">
        <v>633</v>
      </c>
      <c r="PGA77" t="s">
        <v>229</v>
      </c>
      <c r="PGB77" t="s">
        <v>633</v>
      </c>
      <c r="PGC77" t="s">
        <v>229</v>
      </c>
      <c r="PGD77" t="s">
        <v>633</v>
      </c>
      <c r="PGE77" t="s">
        <v>229</v>
      </c>
      <c r="PGF77" t="s">
        <v>633</v>
      </c>
      <c r="PGG77" t="s">
        <v>229</v>
      </c>
      <c r="PGH77" t="s">
        <v>633</v>
      </c>
      <c r="PGI77" t="s">
        <v>229</v>
      </c>
      <c r="PGJ77" t="s">
        <v>633</v>
      </c>
      <c r="PGK77" t="s">
        <v>229</v>
      </c>
      <c r="PGL77" t="s">
        <v>633</v>
      </c>
      <c r="PGM77" t="s">
        <v>229</v>
      </c>
      <c r="PGN77" t="s">
        <v>633</v>
      </c>
      <c r="PGO77" t="s">
        <v>229</v>
      </c>
      <c r="PGP77" t="s">
        <v>633</v>
      </c>
      <c r="PGQ77" t="s">
        <v>229</v>
      </c>
      <c r="PGR77" t="s">
        <v>633</v>
      </c>
      <c r="PGS77" t="s">
        <v>229</v>
      </c>
      <c r="PGT77" t="s">
        <v>633</v>
      </c>
      <c r="PGU77" t="s">
        <v>229</v>
      </c>
      <c r="PGV77" t="s">
        <v>633</v>
      </c>
      <c r="PGW77" t="s">
        <v>229</v>
      </c>
      <c r="PGX77" t="s">
        <v>633</v>
      </c>
      <c r="PGY77" t="s">
        <v>229</v>
      </c>
      <c r="PGZ77" t="s">
        <v>633</v>
      </c>
      <c r="PHA77" t="s">
        <v>229</v>
      </c>
      <c r="PHB77" t="s">
        <v>633</v>
      </c>
      <c r="PHC77" t="s">
        <v>229</v>
      </c>
      <c r="PHD77" t="s">
        <v>633</v>
      </c>
      <c r="PHE77" t="s">
        <v>229</v>
      </c>
      <c r="PHF77" t="s">
        <v>633</v>
      </c>
      <c r="PHG77" t="s">
        <v>229</v>
      </c>
      <c r="PHH77" t="s">
        <v>633</v>
      </c>
      <c r="PHI77" t="s">
        <v>229</v>
      </c>
      <c r="PHJ77" t="s">
        <v>633</v>
      </c>
      <c r="PHK77" t="s">
        <v>229</v>
      </c>
      <c r="PHL77" t="s">
        <v>633</v>
      </c>
      <c r="PHM77" t="s">
        <v>229</v>
      </c>
      <c r="PHN77" t="s">
        <v>633</v>
      </c>
      <c r="PHO77" t="s">
        <v>229</v>
      </c>
      <c r="PHP77" t="s">
        <v>633</v>
      </c>
      <c r="PHQ77" t="s">
        <v>229</v>
      </c>
      <c r="PHR77" t="s">
        <v>633</v>
      </c>
      <c r="PHS77" t="s">
        <v>229</v>
      </c>
      <c r="PHT77" t="s">
        <v>633</v>
      </c>
      <c r="PHU77" t="s">
        <v>229</v>
      </c>
      <c r="PHV77" t="s">
        <v>633</v>
      </c>
      <c r="PHW77" t="s">
        <v>229</v>
      </c>
      <c r="PHX77" t="s">
        <v>633</v>
      </c>
      <c r="PHY77" t="s">
        <v>229</v>
      </c>
      <c r="PHZ77" t="s">
        <v>633</v>
      </c>
      <c r="PIA77" t="s">
        <v>229</v>
      </c>
      <c r="PIB77" t="s">
        <v>633</v>
      </c>
      <c r="PIC77" t="s">
        <v>229</v>
      </c>
      <c r="PID77" t="s">
        <v>633</v>
      </c>
      <c r="PIE77" t="s">
        <v>229</v>
      </c>
      <c r="PIF77" t="s">
        <v>633</v>
      </c>
      <c r="PIG77" t="s">
        <v>229</v>
      </c>
      <c r="PIH77" t="s">
        <v>633</v>
      </c>
      <c r="PII77" t="s">
        <v>229</v>
      </c>
      <c r="PIJ77" t="s">
        <v>633</v>
      </c>
      <c r="PIK77" t="s">
        <v>229</v>
      </c>
      <c r="PIL77" t="s">
        <v>633</v>
      </c>
      <c r="PIM77" t="s">
        <v>229</v>
      </c>
      <c r="PIN77" t="s">
        <v>633</v>
      </c>
      <c r="PIO77" t="s">
        <v>229</v>
      </c>
      <c r="PIP77" t="s">
        <v>633</v>
      </c>
      <c r="PIQ77" t="s">
        <v>229</v>
      </c>
      <c r="PIR77" t="s">
        <v>633</v>
      </c>
      <c r="PIS77" t="s">
        <v>229</v>
      </c>
      <c r="PIT77" t="s">
        <v>633</v>
      </c>
      <c r="PIU77" t="s">
        <v>229</v>
      </c>
      <c r="PIV77" t="s">
        <v>633</v>
      </c>
      <c r="PIW77" t="s">
        <v>229</v>
      </c>
      <c r="PIX77" t="s">
        <v>633</v>
      </c>
      <c r="PIY77" t="s">
        <v>229</v>
      </c>
      <c r="PIZ77" t="s">
        <v>633</v>
      </c>
      <c r="PJA77" t="s">
        <v>229</v>
      </c>
      <c r="PJB77" t="s">
        <v>633</v>
      </c>
      <c r="PJC77" t="s">
        <v>229</v>
      </c>
      <c r="PJD77" t="s">
        <v>633</v>
      </c>
      <c r="PJE77" t="s">
        <v>229</v>
      </c>
      <c r="PJF77" t="s">
        <v>633</v>
      </c>
      <c r="PJG77" t="s">
        <v>229</v>
      </c>
      <c r="PJH77" t="s">
        <v>633</v>
      </c>
      <c r="PJI77" t="s">
        <v>229</v>
      </c>
      <c r="PJJ77" t="s">
        <v>633</v>
      </c>
      <c r="PJK77" t="s">
        <v>229</v>
      </c>
      <c r="PJL77" t="s">
        <v>633</v>
      </c>
      <c r="PJM77" t="s">
        <v>229</v>
      </c>
      <c r="PJN77" t="s">
        <v>633</v>
      </c>
      <c r="PJO77" t="s">
        <v>229</v>
      </c>
      <c r="PJP77" t="s">
        <v>633</v>
      </c>
      <c r="PJQ77" t="s">
        <v>229</v>
      </c>
      <c r="PJR77" t="s">
        <v>633</v>
      </c>
      <c r="PJS77" t="s">
        <v>229</v>
      </c>
      <c r="PJT77" t="s">
        <v>633</v>
      </c>
      <c r="PJU77" t="s">
        <v>229</v>
      </c>
      <c r="PJV77" t="s">
        <v>633</v>
      </c>
      <c r="PJW77" t="s">
        <v>229</v>
      </c>
      <c r="PJX77" t="s">
        <v>633</v>
      </c>
      <c r="PJY77" t="s">
        <v>229</v>
      </c>
      <c r="PJZ77" t="s">
        <v>633</v>
      </c>
      <c r="PKA77" t="s">
        <v>229</v>
      </c>
      <c r="PKB77" t="s">
        <v>633</v>
      </c>
      <c r="PKC77" t="s">
        <v>229</v>
      </c>
      <c r="PKD77" t="s">
        <v>633</v>
      </c>
      <c r="PKE77" t="s">
        <v>229</v>
      </c>
      <c r="PKF77" t="s">
        <v>633</v>
      </c>
      <c r="PKG77" t="s">
        <v>229</v>
      </c>
      <c r="PKH77" t="s">
        <v>633</v>
      </c>
      <c r="PKI77" t="s">
        <v>229</v>
      </c>
      <c r="PKJ77" t="s">
        <v>633</v>
      </c>
      <c r="PKK77" t="s">
        <v>229</v>
      </c>
      <c r="PKL77" t="s">
        <v>633</v>
      </c>
      <c r="PKM77" t="s">
        <v>229</v>
      </c>
      <c r="PKN77" t="s">
        <v>633</v>
      </c>
      <c r="PKO77" t="s">
        <v>229</v>
      </c>
      <c r="PKP77" t="s">
        <v>633</v>
      </c>
      <c r="PKQ77" t="s">
        <v>229</v>
      </c>
      <c r="PKR77" t="s">
        <v>633</v>
      </c>
      <c r="PKS77" t="s">
        <v>229</v>
      </c>
      <c r="PKT77" t="s">
        <v>633</v>
      </c>
      <c r="PKU77" t="s">
        <v>229</v>
      </c>
      <c r="PKV77" t="s">
        <v>633</v>
      </c>
      <c r="PKW77" t="s">
        <v>229</v>
      </c>
      <c r="PKX77" t="s">
        <v>633</v>
      </c>
      <c r="PKY77" t="s">
        <v>229</v>
      </c>
      <c r="PKZ77" t="s">
        <v>633</v>
      </c>
      <c r="PLA77" t="s">
        <v>229</v>
      </c>
      <c r="PLB77" t="s">
        <v>633</v>
      </c>
      <c r="PLC77" t="s">
        <v>229</v>
      </c>
      <c r="PLD77" t="s">
        <v>633</v>
      </c>
      <c r="PLE77" t="s">
        <v>229</v>
      </c>
      <c r="PLF77" t="s">
        <v>633</v>
      </c>
      <c r="PLG77" t="s">
        <v>229</v>
      </c>
      <c r="PLH77" t="s">
        <v>633</v>
      </c>
      <c r="PLI77" t="s">
        <v>229</v>
      </c>
      <c r="PLJ77" t="s">
        <v>633</v>
      </c>
      <c r="PLK77" t="s">
        <v>229</v>
      </c>
      <c r="PLL77" t="s">
        <v>633</v>
      </c>
      <c r="PLM77" t="s">
        <v>229</v>
      </c>
      <c r="PLN77" t="s">
        <v>633</v>
      </c>
      <c r="PLO77" t="s">
        <v>229</v>
      </c>
      <c r="PLP77" t="s">
        <v>633</v>
      </c>
      <c r="PLQ77" t="s">
        <v>229</v>
      </c>
      <c r="PLR77" t="s">
        <v>633</v>
      </c>
      <c r="PLS77" t="s">
        <v>229</v>
      </c>
      <c r="PLT77" t="s">
        <v>633</v>
      </c>
      <c r="PLU77" t="s">
        <v>229</v>
      </c>
      <c r="PLV77" t="s">
        <v>633</v>
      </c>
      <c r="PLW77" t="s">
        <v>229</v>
      </c>
      <c r="PLX77" t="s">
        <v>633</v>
      </c>
      <c r="PLY77" t="s">
        <v>229</v>
      </c>
      <c r="PLZ77" t="s">
        <v>633</v>
      </c>
      <c r="PMA77" t="s">
        <v>229</v>
      </c>
      <c r="PMB77" t="s">
        <v>633</v>
      </c>
      <c r="PMC77" t="s">
        <v>229</v>
      </c>
      <c r="PMD77" t="s">
        <v>633</v>
      </c>
      <c r="PME77" t="s">
        <v>229</v>
      </c>
      <c r="PMF77" t="s">
        <v>633</v>
      </c>
      <c r="PMG77" t="s">
        <v>229</v>
      </c>
      <c r="PMH77" t="s">
        <v>633</v>
      </c>
      <c r="PMI77" t="s">
        <v>229</v>
      </c>
      <c r="PMJ77" t="s">
        <v>633</v>
      </c>
      <c r="PMK77" t="s">
        <v>229</v>
      </c>
      <c r="PML77" t="s">
        <v>633</v>
      </c>
      <c r="PMM77" t="s">
        <v>229</v>
      </c>
      <c r="PMN77" t="s">
        <v>633</v>
      </c>
      <c r="PMO77" t="s">
        <v>229</v>
      </c>
      <c r="PMP77" t="s">
        <v>633</v>
      </c>
      <c r="PMQ77" t="s">
        <v>229</v>
      </c>
      <c r="PMR77" t="s">
        <v>633</v>
      </c>
      <c r="PMS77" t="s">
        <v>229</v>
      </c>
      <c r="PMT77" t="s">
        <v>633</v>
      </c>
      <c r="PMU77" t="s">
        <v>229</v>
      </c>
      <c r="PMV77" t="s">
        <v>633</v>
      </c>
      <c r="PMW77" t="s">
        <v>229</v>
      </c>
      <c r="PMX77" t="s">
        <v>633</v>
      </c>
      <c r="PMY77" t="s">
        <v>229</v>
      </c>
      <c r="PMZ77" t="s">
        <v>633</v>
      </c>
      <c r="PNA77" t="s">
        <v>229</v>
      </c>
      <c r="PNB77" t="s">
        <v>633</v>
      </c>
      <c r="PNC77" t="s">
        <v>229</v>
      </c>
      <c r="PND77" t="s">
        <v>633</v>
      </c>
      <c r="PNE77" t="s">
        <v>229</v>
      </c>
      <c r="PNF77" t="s">
        <v>633</v>
      </c>
      <c r="PNG77" t="s">
        <v>229</v>
      </c>
      <c r="PNH77" t="s">
        <v>633</v>
      </c>
      <c r="PNI77" t="s">
        <v>229</v>
      </c>
      <c r="PNJ77" t="s">
        <v>633</v>
      </c>
      <c r="PNK77" t="s">
        <v>229</v>
      </c>
      <c r="PNL77" t="s">
        <v>633</v>
      </c>
      <c r="PNM77" t="s">
        <v>229</v>
      </c>
      <c r="PNN77" t="s">
        <v>633</v>
      </c>
      <c r="PNO77" t="s">
        <v>229</v>
      </c>
      <c r="PNP77" t="s">
        <v>633</v>
      </c>
      <c r="PNQ77" t="s">
        <v>229</v>
      </c>
      <c r="PNR77" t="s">
        <v>633</v>
      </c>
      <c r="PNS77" t="s">
        <v>229</v>
      </c>
      <c r="PNT77" t="s">
        <v>633</v>
      </c>
      <c r="PNU77" t="s">
        <v>229</v>
      </c>
      <c r="PNV77" t="s">
        <v>633</v>
      </c>
      <c r="PNW77" t="s">
        <v>229</v>
      </c>
      <c r="PNX77" t="s">
        <v>633</v>
      </c>
      <c r="PNY77" t="s">
        <v>229</v>
      </c>
      <c r="PNZ77" t="s">
        <v>633</v>
      </c>
      <c r="POA77" t="s">
        <v>229</v>
      </c>
      <c r="POB77" t="s">
        <v>633</v>
      </c>
      <c r="POC77" t="s">
        <v>229</v>
      </c>
      <c r="POD77" t="s">
        <v>633</v>
      </c>
      <c r="POE77" t="s">
        <v>229</v>
      </c>
      <c r="POF77" t="s">
        <v>633</v>
      </c>
      <c r="POG77" t="s">
        <v>229</v>
      </c>
      <c r="POH77" t="s">
        <v>633</v>
      </c>
      <c r="POI77" t="s">
        <v>229</v>
      </c>
      <c r="POJ77" t="s">
        <v>633</v>
      </c>
      <c r="POK77" t="s">
        <v>229</v>
      </c>
      <c r="POL77" t="s">
        <v>633</v>
      </c>
      <c r="POM77" t="s">
        <v>229</v>
      </c>
      <c r="PON77" t="s">
        <v>633</v>
      </c>
      <c r="POO77" t="s">
        <v>229</v>
      </c>
      <c r="POP77" t="s">
        <v>633</v>
      </c>
      <c r="POQ77" t="s">
        <v>229</v>
      </c>
      <c r="POR77" t="s">
        <v>633</v>
      </c>
      <c r="POS77" t="s">
        <v>229</v>
      </c>
      <c r="POT77" t="s">
        <v>633</v>
      </c>
      <c r="POU77" t="s">
        <v>229</v>
      </c>
      <c r="POV77" t="s">
        <v>633</v>
      </c>
      <c r="POW77" t="s">
        <v>229</v>
      </c>
      <c r="POX77" t="s">
        <v>633</v>
      </c>
      <c r="POY77" t="s">
        <v>229</v>
      </c>
      <c r="POZ77" t="s">
        <v>633</v>
      </c>
      <c r="PPA77" t="s">
        <v>229</v>
      </c>
      <c r="PPB77" t="s">
        <v>633</v>
      </c>
      <c r="PPC77" t="s">
        <v>229</v>
      </c>
      <c r="PPD77" t="s">
        <v>633</v>
      </c>
      <c r="PPE77" t="s">
        <v>229</v>
      </c>
      <c r="PPF77" t="s">
        <v>633</v>
      </c>
      <c r="PPG77" t="s">
        <v>229</v>
      </c>
      <c r="PPH77" t="s">
        <v>633</v>
      </c>
      <c r="PPI77" t="s">
        <v>229</v>
      </c>
      <c r="PPJ77" t="s">
        <v>633</v>
      </c>
      <c r="PPK77" t="s">
        <v>229</v>
      </c>
      <c r="PPL77" t="s">
        <v>633</v>
      </c>
      <c r="PPM77" t="s">
        <v>229</v>
      </c>
      <c r="PPN77" t="s">
        <v>633</v>
      </c>
      <c r="PPO77" t="s">
        <v>229</v>
      </c>
      <c r="PPP77" t="s">
        <v>633</v>
      </c>
      <c r="PPQ77" t="s">
        <v>229</v>
      </c>
      <c r="PPR77" t="s">
        <v>633</v>
      </c>
      <c r="PPS77" t="s">
        <v>229</v>
      </c>
      <c r="PPT77" t="s">
        <v>633</v>
      </c>
      <c r="PPU77" t="s">
        <v>229</v>
      </c>
      <c r="PPV77" t="s">
        <v>633</v>
      </c>
      <c r="PPW77" t="s">
        <v>229</v>
      </c>
      <c r="PPX77" t="s">
        <v>633</v>
      </c>
      <c r="PPY77" t="s">
        <v>229</v>
      </c>
      <c r="PPZ77" t="s">
        <v>633</v>
      </c>
      <c r="PQA77" t="s">
        <v>229</v>
      </c>
      <c r="PQB77" t="s">
        <v>633</v>
      </c>
      <c r="PQC77" t="s">
        <v>229</v>
      </c>
      <c r="PQD77" t="s">
        <v>633</v>
      </c>
      <c r="PQE77" t="s">
        <v>229</v>
      </c>
      <c r="PQF77" t="s">
        <v>633</v>
      </c>
      <c r="PQG77" t="s">
        <v>229</v>
      </c>
      <c r="PQH77" t="s">
        <v>633</v>
      </c>
      <c r="PQI77" t="s">
        <v>229</v>
      </c>
      <c r="PQJ77" t="s">
        <v>633</v>
      </c>
      <c r="PQK77" t="s">
        <v>229</v>
      </c>
      <c r="PQL77" t="s">
        <v>633</v>
      </c>
      <c r="PQM77" t="s">
        <v>229</v>
      </c>
      <c r="PQN77" t="s">
        <v>633</v>
      </c>
      <c r="PQO77" t="s">
        <v>229</v>
      </c>
      <c r="PQP77" t="s">
        <v>633</v>
      </c>
      <c r="PQQ77" t="s">
        <v>229</v>
      </c>
      <c r="PQR77" t="s">
        <v>633</v>
      </c>
      <c r="PQS77" t="s">
        <v>229</v>
      </c>
      <c r="PQT77" t="s">
        <v>633</v>
      </c>
      <c r="PQU77" t="s">
        <v>229</v>
      </c>
      <c r="PQV77" t="s">
        <v>633</v>
      </c>
      <c r="PQW77" t="s">
        <v>229</v>
      </c>
      <c r="PQX77" t="s">
        <v>633</v>
      </c>
      <c r="PQY77" t="s">
        <v>229</v>
      </c>
      <c r="PQZ77" t="s">
        <v>633</v>
      </c>
      <c r="PRA77" t="s">
        <v>229</v>
      </c>
      <c r="PRB77" t="s">
        <v>633</v>
      </c>
      <c r="PRC77" t="s">
        <v>229</v>
      </c>
      <c r="PRD77" t="s">
        <v>633</v>
      </c>
      <c r="PRE77" t="s">
        <v>229</v>
      </c>
      <c r="PRF77" t="s">
        <v>633</v>
      </c>
      <c r="PRG77" t="s">
        <v>229</v>
      </c>
      <c r="PRH77" t="s">
        <v>633</v>
      </c>
      <c r="PRI77" t="s">
        <v>229</v>
      </c>
      <c r="PRJ77" t="s">
        <v>633</v>
      </c>
      <c r="PRK77" t="s">
        <v>229</v>
      </c>
      <c r="PRL77" t="s">
        <v>633</v>
      </c>
      <c r="PRM77" t="s">
        <v>229</v>
      </c>
      <c r="PRN77" t="s">
        <v>633</v>
      </c>
      <c r="PRO77" t="s">
        <v>229</v>
      </c>
      <c r="PRP77" t="s">
        <v>633</v>
      </c>
      <c r="PRQ77" t="s">
        <v>229</v>
      </c>
      <c r="PRR77" t="s">
        <v>633</v>
      </c>
      <c r="PRS77" t="s">
        <v>229</v>
      </c>
      <c r="PRT77" t="s">
        <v>633</v>
      </c>
      <c r="PRU77" t="s">
        <v>229</v>
      </c>
      <c r="PRV77" t="s">
        <v>633</v>
      </c>
      <c r="PRW77" t="s">
        <v>229</v>
      </c>
      <c r="PRX77" t="s">
        <v>633</v>
      </c>
      <c r="PRY77" t="s">
        <v>229</v>
      </c>
      <c r="PRZ77" t="s">
        <v>633</v>
      </c>
      <c r="PSA77" t="s">
        <v>229</v>
      </c>
      <c r="PSB77" t="s">
        <v>633</v>
      </c>
      <c r="PSC77" t="s">
        <v>229</v>
      </c>
      <c r="PSD77" t="s">
        <v>633</v>
      </c>
      <c r="PSE77" t="s">
        <v>229</v>
      </c>
      <c r="PSF77" t="s">
        <v>633</v>
      </c>
      <c r="PSG77" t="s">
        <v>229</v>
      </c>
      <c r="PSH77" t="s">
        <v>633</v>
      </c>
      <c r="PSI77" t="s">
        <v>229</v>
      </c>
      <c r="PSJ77" t="s">
        <v>633</v>
      </c>
      <c r="PSK77" t="s">
        <v>229</v>
      </c>
      <c r="PSL77" t="s">
        <v>633</v>
      </c>
      <c r="PSM77" t="s">
        <v>229</v>
      </c>
      <c r="PSN77" t="s">
        <v>633</v>
      </c>
      <c r="PSO77" t="s">
        <v>229</v>
      </c>
      <c r="PSP77" t="s">
        <v>633</v>
      </c>
      <c r="PSQ77" t="s">
        <v>229</v>
      </c>
      <c r="PSR77" t="s">
        <v>633</v>
      </c>
      <c r="PSS77" t="s">
        <v>229</v>
      </c>
      <c r="PST77" t="s">
        <v>633</v>
      </c>
      <c r="PSU77" t="s">
        <v>229</v>
      </c>
      <c r="PSV77" t="s">
        <v>633</v>
      </c>
      <c r="PSW77" t="s">
        <v>229</v>
      </c>
      <c r="PSX77" t="s">
        <v>633</v>
      </c>
      <c r="PSY77" t="s">
        <v>229</v>
      </c>
      <c r="PSZ77" t="s">
        <v>633</v>
      </c>
      <c r="PTA77" t="s">
        <v>229</v>
      </c>
      <c r="PTB77" t="s">
        <v>633</v>
      </c>
      <c r="PTC77" t="s">
        <v>229</v>
      </c>
      <c r="PTD77" t="s">
        <v>633</v>
      </c>
      <c r="PTE77" t="s">
        <v>229</v>
      </c>
      <c r="PTF77" t="s">
        <v>633</v>
      </c>
      <c r="PTG77" t="s">
        <v>229</v>
      </c>
      <c r="PTH77" t="s">
        <v>633</v>
      </c>
      <c r="PTI77" t="s">
        <v>229</v>
      </c>
      <c r="PTJ77" t="s">
        <v>633</v>
      </c>
      <c r="PTK77" t="s">
        <v>229</v>
      </c>
      <c r="PTL77" t="s">
        <v>633</v>
      </c>
      <c r="PTM77" t="s">
        <v>229</v>
      </c>
      <c r="PTN77" t="s">
        <v>633</v>
      </c>
      <c r="PTO77" t="s">
        <v>229</v>
      </c>
      <c r="PTP77" t="s">
        <v>633</v>
      </c>
      <c r="PTQ77" t="s">
        <v>229</v>
      </c>
      <c r="PTR77" t="s">
        <v>633</v>
      </c>
      <c r="PTS77" t="s">
        <v>229</v>
      </c>
      <c r="PTT77" t="s">
        <v>633</v>
      </c>
      <c r="PTU77" t="s">
        <v>229</v>
      </c>
      <c r="PTV77" t="s">
        <v>633</v>
      </c>
      <c r="PTW77" t="s">
        <v>229</v>
      </c>
      <c r="PTX77" t="s">
        <v>633</v>
      </c>
      <c r="PTY77" t="s">
        <v>229</v>
      </c>
      <c r="PTZ77" t="s">
        <v>633</v>
      </c>
      <c r="PUA77" t="s">
        <v>229</v>
      </c>
      <c r="PUB77" t="s">
        <v>633</v>
      </c>
      <c r="PUC77" t="s">
        <v>229</v>
      </c>
      <c r="PUD77" t="s">
        <v>633</v>
      </c>
      <c r="PUE77" t="s">
        <v>229</v>
      </c>
      <c r="PUF77" t="s">
        <v>633</v>
      </c>
      <c r="PUG77" t="s">
        <v>229</v>
      </c>
      <c r="PUH77" t="s">
        <v>633</v>
      </c>
      <c r="PUI77" t="s">
        <v>229</v>
      </c>
      <c r="PUJ77" t="s">
        <v>633</v>
      </c>
      <c r="PUK77" t="s">
        <v>229</v>
      </c>
      <c r="PUL77" t="s">
        <v>633</v>
      </c>
      <c r="PUM77" t="s">
        <v>229</v>
      </c>
      <c r="PUN77" t="s">
        <v>633</v>
      </c>
      <c r="PUO77" t="s">
        <v>229</v>
      </c>
      <c r="PUP77" t="s">
        <v>633</v>
      </c>
      <c r="PUQ77" t="s">
        <v>229</v>
      </c>
      <c r="PUR77" t="s">
        <v>633</v>
      </c>
      <c r="PUS77" t="s">
        <v>229</v>
      </c>
      <c r="PUT77" t="s">
        <v>633</v>
      </c>
      <c r="PUU77" t="s">
        <v>229</v>
      </c>
      <c r="PUV77" t="s">
        <v>633</v>
      </c>
      <c r="PUW77" t="s">
        <v>229</v>
      </c>
      <c r="PUX77" t="s">
        <v>633</v>
      </c>
      <c r="PUY77" t="s">
        <v>229</v>
      </c>
      <c r="PUZ77" t="s">
        <v>633</v>
      </c>
      <c r="PVA77" t="s">
        <v>229</v>
      </c>
      <c r="PVB77" t="s">
        <v>633</v>
      </c>
      <c r="PVC77" t="s">
        <v>229</v>
      </c>
      <c r="PVD77" t="s">
        <v>633</v>
      </c>
      <c r="PVE77" t="s">
        <v>229</v>
      </c>
      <c r="PVF77" t="s">
        <v>633</v>
      </c>
      <c r="PVG77" t="s">
        <v>229</v>
      </c>
      <c r="PVH77" t="s">
        <v>633</v>
      </c>
      <c r="PVI77" t="s">
        <v>229</v>
      </c>
      <c r="PVJ77" t="s">
        <v>633</v>
      </c>
      <c r="PVK77" t="s">
        <v>229</v>
      </c>
      <c r="PVL77" t="s">
        <v>633</v>
      </c>
      <c r="PVM77" t="s">
        <v>229</v>
      </c>
      <c r="PVN77" t="s">
        <v>633</v>
      </c>
      <c r="PVO77" t="s">
        <v>229</v>
      </c>
      <c r="PVP77" t="s">
        <v>633</v>
      </c>
      <c r="PVQ77" t="s">
        <v>229</v>
      </c>
      <c r="PVR77" t="s">
        <v>633</v>
      </c>
      <c r="PVS77" t="s">
        <v>229</v>
      </c>
      <c r="PVT77" t="s">
        <v>633</v>
      </c>
      <c r="PVU77" t="s">
        <v>229</v>
      </c>
      <c r="PVV77" t="s">
        <v>633</v>
      </c>
      <c r="PVW77" t="s">
        <v>229</v>
      </c>
      <c r="PVX77" t="s">
        <v>633</v>
      </c>
      <c r="PVY77" t="s">
        <v>229</v>
      </c>
      <c r="PVZ77" t="s">
        <v>633</v>
      </c>
      <c r="PWA77" t="s">
        <v>229</v>
      </c>
      <c r="PWB77" t="s">
        <v>633</v>
      </c>
      <c r="PWC77" t="s">
        <v>229</v>
      </c>
      <c r="PWD77" t="s">
        <v>633</v>
      </c>
      <c r="PWE77" t="s">
        <v>229</v>
      </c>
      <c r="PWF77" t="s">
        <v>633</v>
      </c>
      <c r="PWG77" t="s">
        <v>229</v>
      </c>
      <c r="PWH77" t="s">
        <v>633</v>
      </c>
      <c r="PWI77" t="s">
        <v>229</v>
      </c>
      <c r="PWJ77" t="s">
        <v>633</v>
      </c>
      <c r="PWK77" t="s">
        <v>229</v>
      </c>
      <c r="PWL77" t="s">
        <v>633</v>
      </c>
      <c r="PWM77" t="s">
        <v>229</v>
      </c>
      <c r="PWN77" t="s">
        <v>633</v>
      </c>
      <c r="PWO77" t="s">
        <v>229</v>
      </c>
      <c r="PWP77" t="s">
        <v>633</v>
      </c>
      <c r="PWQ77" t="s">
        <v>229</v>
      </c>
      <c r="PWR77" t="s">
        <v>633</v>
      </c>
      <c r="PWS77" t="s">
        <v>229</v>
      </c>
      <c r="PWT77" t="s">
        <v>633</v>
      </c>
      <c r="PWU77" t="s">
        <v>229</v>
      </c>
      <c r="PWV77" t="s">
        <v>633</v>
      </c>
      <c r="PWW77" t="s">
        <v>229</v>
      </c>
      <c r="PWX77" t="s">
        <v>633</v>
      </c>
      <c r="PWY77" t="s">
        <v>229</v>
      </c>
      <c r="PWZ77" t="s">
        <v>633</v>
      </c>
      <c r="PXA77" t="s">
        <v>229</v>
      </c>
      <c r="PXB77" t="s">
        <v>633</v>
      </c>
      <c r="PXC77" t="s">
        <v>229</v>
      </c>
      <c r="PXD77" t="s">
        <v>633</v>
      </c>
      <c r="PXE77" t="s">
        <v>229</v>
      </c>
      <c r="PXF77" t="s">
        <v>633</v>
      </c>
      <c r="PXG77" t="s">
        <v>229</v>
      </c>
      <c r="PXH77" t="s">
        <v>633</v>
      </c>
      <c r="PXI77" t="s">
        <v>229</v>
      </c>
      <c r="PXJ77" t="s">
        <v>633</v>
      </c>
      <c r="PXK77" t="s">
        <v>229</v>
      </c>
      <c r="PXL77" t="s">
        <v>633</v>
      </c>
      <c r="PXM77" t="s">
        <v>229</v>
      </c>
      <c r="PXN77" t="s">
        <v>633</v>
      </c>
      <c r="PXO77" t="s">
        <v>229</v>
      </c>
      <c r="PXP77" t="s">
        <v>633</v>
      </c>
      <c r="PXQ77" t="s">
        <v>229</v>
      </c>
      <c r="PXR77" t="s">
        <v>633</v>
      </c>
      <c r="PXS77" t="s">
        <v>229</v>
      </c>
      <c r="PXT77" t="s">
        <v>633</v>
      </c>
      <c r="PXU77" t="s">
        <v>229</v>
      </c>
      <c r="PXV77" t="s">
        <v>633</v>
      </c>
      <c r="PXW77" t="s">
        <v>229</v>
      </c>
      <c r="PXX77" t="s">
        <v>633</v>
      </c>
      <c r="PXY77" t="s">
        <v>229</v>
      </c>
      <c r="PXZ77" t="s">
        <v>633</v>
      </c>
      <c r="PYA77" t="s">
        <v>229</v>
      </c>
      <c r="PYB77" t="s">
        <v>633</v>
      </c>
      <c r="PYC77" t="s">
        <v>229</v>
      </c>
      <c r="PYD77" t="s">
        <v>633</v>
      </c>
      <c r="PYE77" t="s">
        <v>229</v>
      </c>
      <c r="PYF77" t="s">
        <v>633</v>
      </c>
      <c r="PYG77" t="s">
        <v>229</v>
      </c>
      <c r="PYH77" t="s">
        <v>633</v>
      </c>
      <c r="PYI77" t="s">
        <v>229</v>
      </c>
      <c r="PYJ77" t="s">
        <v>633</v>
      </c>
      <c r="PYK77" t="s">
        <v>229</v>
      </c>
      <c r="PYL77" t="s">
        <v>633</v>
      </c>
      <c r="PYM77" t="s">
        <v>229</v>
      </c>
      <c r="PYN77" t="s">
        <v>633</v>
      </c>
      <c r="PYO77" t="s">
        <v>229</v>
      </c>
      <c r="PYP77" t="s">
        <v>633</v>
      </c>
      <c r="PYQ77" t="s">
        <v>229</v>
      </c>
      <c r="PYR77" t="s">
        <v>633</v>
      </c>
      <c r="PYS77" t="s">
        <v>229</v>
      </c>
      <c r="PYT77" t="s">
        <v>633</v>
      </c>
      <c r="PYU77" t="s">
        <v>229</v>
      </c>
      <c r="PYV77" t="s">
        <v>633</v>
      </c>
      <c r="PYW77" t="s">
        <v>229</v>
      </c>
      <c r="PYX77" t="s">
        <v>633</v>
      </c>
      <c r="PYY77" t="s">
        <v>229</v>
      </c>
      <c r="PYZ77" t="s">
        <v>633</v>
      </c>
      <c r="PZA77" t="s">
        <v>229</v>
      </c>
      <c r="PZB77" t="s">
        <v>633</v>
      </c>
      <c r="PZC77" t="s">
        <v>229</v>
      </c>
      <c r="PZD77" t="s">
        <v>633</v>
      </c>
      <c r="PZE77" t="s">
        <v>229</v>
      </c>
      <c r="PZF77" t="s">
        <v>633</v>
      </c>
      <c r="PZG77" t="s">
        <v>229</v>
      </c>
      <c r="PZH77" t="s">
        <v>633</v>
      </c>
      <c r="PZI77" t="s">
        <v>229</v>
      </c>
      <c r="PZJ77" t="s">
        <v>633</v>
      </c>
      <c r="PZK77" t="s">
        <v>229</v>
      </c>
      <c r="PZL77" t="s">
        <v>633</v>
      </c>
      <c r="PZM77" t="s">
        <v>229</v>
      </c>
      <c r="PZN77" t="s">
        <v>633</v>
      </c>
      <c r="PZO77" t="s">
        <v>229</v>
      </c>
      <c r="PZP77" t="s">
        <v>633</v>
      </c>
      <c r="PZQ77" t="s">
        <v>229</v>
      </c>
      <c r="PZR77" t="s">
        <v>633</v>
      </c>
      <c r="PZS77" t="s">
        <v>229</v>
      </c>
      <c r="PZT77" t="s">
        <v>633</v>
      </c>
      <c r="PZU77" t="s">
        <v>229</v>
      </c>
      <c r="PZV77" t="s">
        <v>633</v>
      </c>
      <c r="PZW77" t="s">
        <v>229</v>
      </c>
      <c r="PZX77" t="s">
        <v>633</v>
      </c>
      <c r="PZY77" t="s">
        <v>229</v>
      </c>
      <c r="PZZ77" t="s">
        <v>633</v>
      </c>
      <c r="QAA77" t="s">
        <v>229</v>
      </c>
      <c r="QAB77" t="s">
        <v>633</v>
      </c>
      <c r="QAC77" t="s">
        <v>229</v>
      </c>
      <c r="QAD77" t="s">
        <v>633</v>
      </c>
      <c r="QAE77" t="s">
        <v>229</v>
      </c>
      <c r="QAF77" t="s">
        <v>633</v>
      </c>
      <c r="QAG77" t="s">
        <v>229</v>
      </c>
      <c r="QAH77" t="s">
        <v>633</v>
      </c>
      <c r="QAI77" t="s">
        <v>229</v>
      </c>
      <c r="QAJ77" t="s">
        <v>633</v>
      </c>
      <c r="QAK77" t="s">
        <v>229</v>
      </c>
      <c r="QAL77" t="s">
        <v>633</v>
      </c>
      <c r="QAM77" t="s">
        <v>229</v>
      </c>
      <c r="QAN77" t="s">
        <v>633</v>
      </c>
      <c r="QAO77" t="s">
        <v>229</v>
      </c>
      <c r="QAP77" t="s">
        <v>633</v>
      </c>
      <c r="QAQ77" t="s">
        <v>229</v>
      </c>
      <c r="QAR77" t="s">
        <v>633</v>
      </c>
      <c r="QAS77" t="s">
        <v>229</v>
      </c>
      <c r="QAT77" t="s">
        <v>633</v>
      </c>
      <c r="QAU77" t="s">
        <v>229</v>
      </c>
      <c r="QAV77" t="s">
        <v>633</v>
      </c>
      <c r="QAW77" t="s">
        <v>229</v>
      </c>
      <c r="QAX77" t="s">
        <v>633</v>
      </c>
      <c r="QAY77" t="s">
        <v>229</v>
      </c>
      <c r="QAZ77" t="s">
        <v>633</v>
      </c>
      <c r="QBA77" t="s">
        <v>229</v>
      </c>
      <c r="QBB77" t="s">
        <v>633</v>
      </c>
      <c r="QBC77" t="s">
        <v>229</v>
      </c>
      <c r="QBD77" t="s">
        <v>633</v>
      </c>
      <c r="QBE77" t="s">
        <v>229</v>
      </c>
      <c r="QBF77" t="s">
        <v>633</v>
      </c>
      <c r="QBG77" t="s">
        <v>229</v>
      </c>
      <c r="QBH77" t="s">
        <v>633</v>
      </c>
      <c r="QBI77" t="s">
        <v>229</v>
      </c>
      <c r="QBJ77" t="s">
        <v>633</v>
      </c>
      <c r="QBK77" t="s">
        <v>229</v>
      </c>
      <c r="QBL77" t="s">
        <v>633</v>
      </c>
      <c r="QBM77" t="s">
        <v>229</v>
      </c>
      <c r="QBN77" t="s">
        <v>633</v>
      </c>
      <c r="QBO77" t="s">
        <v>229</v>
      </c>
      <c r="QBP77" t="s">
        <v>633</v>
      </c>
      <c r="QBQ77" t="s">
        <v>229</v>
      </c>
      <c r="QBR77" t="s">
        <v>633</v>
      </c>
      <c r="QBS77" t="s">
        <v>229</v>
      </c>
      <c r="QBT77" t="s">
        <v>633</v>
      </c>
      <c r="QBU77" t="s">
        <v>229</v>
      </c>
      <c r="QBV77" t="s">
        <v>633</v>
      </c>
      <c r="QBW77" t="s">
        <v>229</v>
      </c>
      <c r="QBX77" t="s">
        <v>633</v>
      </c>
      <c r="QBY77" t="s">
        <v>229</v>
      </c>
      <c r="QBZ77" t="s">
        <v>633</v>
      </c>
      <c r="QCA77" t="s">
        <v>229</v>
      </c>
      <c r="QCB77" t="s">
        <v>633</v>
      </c>
      <c r="QCC77" t="s">
        <v>229</v>
      </c>
      <c r="QCD77" t="s">
        <v>633</v>
      </c>
      <c r="QCE77" t="s">
        <v>229</v>
      </c>
      <c r="QCF77" t="s">
        <v>633</v>
      </c>
      <c r="QCG77" t="s">
        <v>229</v>
      </c>
      <c r="QCH77" t="s">
        <v>633</v>
      </c>
      <c r="QCI77" t="s">
        <v>229</v>
      </c>
      <c r="QCJ77" t="s">
        <v>633</v>
      </c>
      <c r="QCK77" t="s">
        <v>229</v>
      </c>
      <c r="QCL77" t="s">
        <v>633</v>
      </c>
      <c r="QCM77" t="s">
        <v>229</v>
      </c>
      <c r="QCN77" t="s">
        <v>633</v>
      </c>
      <c r="QCO77" t="s">
        <v>229</v>
      </c>
      <c r="QCP77" t="s">
        <v>633</v>
      </c>
      <c r="QCQ77" t="s">
        <v>229</v>
      </c>
      <c r="QCR77" t="s">
        <v>633</v>
      </c>
      <c r="QCS77" t="s">
        <v>229</v>
      </c>
      <c r="QCT77" t="s">
        <v>633</v>
      </c>
      <c r="QCU77" t="s">
        <v>229</v>
      </c>
      <c r="QCV77" t="s">
        <v>633</v>
      </c>
      <c r="QCW77" t="s">
        <v>229</v>
      </c>
      <c r="QCX77" t="s">
        <v>633</v>
      </c>
      <c r="QCY77" t="s">
        <v>229</v>
      </c>
      <c r="QCZ77" t="s">
        <v>633</v>
      </c>
      <c r="QDA77" t="s">
        <v>229</v>
      </c>
      <c r="QDB77" t="s">
        <v>633</v>
      </c>
      <c r="QDC77" t="s">
        <v>229</v>
      </c>
      <c r="QDD77" t="s">
        <v>633</v>
      </c>
      <c r="QDE77" t="s">
        <v>229</v>
      </c>
      <c r="QDF77" t="s">
        <v>633</v>
      </c>
      <c r="QDG77" t="s">
        <v>229</v>
      </c>
      <c r="QDH77" t="s">
        <v>633</v>
      </c>
      <c r="QDI77" t="s">
        <v>229</v>
      </c>
      <c r="QDJ77" t="s">
        <v>633</v>
      </c>
      <c r="QDK77" t="s">
        <v>229</v>
      </c>
      <c r="QDL77" t="s">
        <v>633</v>
      </c>
      <c r="QDM77" t="s">
        <v>229</v>
      </c>
      <c r="QDN77" t="s">
        <v>633</v>
      </c>
      <c r="QDO77" t="s">
        <v>229</v>
      </c>
      <c r="QDP77" t="s">
        <v>633</v>
      </c>
      <c r="QDQ77" t="s">
        <v>229</v>
      </c>
      <c r="QDR77" t="s">
        <v>633</v>
      </c>
      <c r="QDS77" t="s">
        <v>229</v>
      </c>
      <c r="QDT77" t="s">
        <v>633</v>
      </c>
      <c r="QDU77" t="s">
        <v>229</v>
      </c>
      <c r="QDV77" t="s">
        <v>633</v>
      </c>
      <c r="QDW77" t="s">
        <v>229</v>
      </c>
      <c r="QDX77" t="s">
        <v>633</v>
      </c>
      <c r="QDY77" t="s">
        <v>229</v>
      </c>
      <c r="QDZ77" t="s">
        <v>633</v>
      </c>
      <c r="QEA77" t="s">
        <v>229</v>
      </c>
      <c r="QEB77" t="s">
        <v>633</v>
      </c>
      <c r="QEC77" t="s">
        <v>229</v>
      </c>
      <c r="QED77" t="s">
        <v>633</v>
      </c>
      <c r="QEE77" t="s">
        <v>229</v>
      </c>
      <c r="QEF77" t="s">
        <v>633</v>
      </c>
      <c r="QEG77" t="s">
        <v>229</v>
      </c>
      <c r="QEH77" t="s">
        <v>633</v>
      </c>
      <c r="QEI77" t="s">
        <v>229</v>
      </c>
      <c r="QEJ77" t="s">
        <v>633</v>
      </c>
      <c r="QEK77" t="s">
        <v>229</v>
      </c>
      <c r="QEL77" t="s">
        <v>633</v>
      </c>
      <c r="QEM77" t="s">
        <v>229</v>
      </c>
      <c r="QEN77" t="s">
        <v>633</v>
      </c>
      <c r="QEO77" t="s">
        <v>229</v>
      </c>
      <c r="QEP77" t="s">
        <v>633</v>
      </c>
      <c r="QEQ77" t="s">
        <v>229</v>
      </c>
      <c r="QER77" t="s">
        <v>633</v>
      </c>
      <c r="QES77" t="s">
        <v>229</v>
      </c>
      <c r="QET77" t="s">
        <v>633</v>
      </c>
      <c r="QEU77" t="s">
        <v>229</v>
      </c>
      <c r="QEV77" t="s">
        <v>633</v>
      </c>
      <c r="QEW77" t="s">
        <v>229</v>
      </c>
      <c r="QEX77" t="s">
        <v>633</v>
      </c>
      <c r="QEY77" t="s">
        <v>229</v>
      </c>
      <c r="QEZ77" t="s">
        <v>633</v>
      </c>
      <c r="QFA77" t="s">
        <v>229</v>
      </c>
      <c r="QFB77" t="s">
        <v>633</v>
      </c>
      <c r="QFC77" t="s">
        <v>229</v>
      </c>
      <c r="QFD77" t="s">
        <v>633</v>
      </c>
      <c r="QFE77" t="s">
        <v>229</v>
      </c>
      <c r="QFF77" t="s">
        <v>633</v>
      </c>
      <c r="QFG77" t="s">
        <v>229</v>
      </c>
      <c r="QFH77" t="s">
        <v>633</v>
      </c>
      <c r="QFI77" t="s">
        <v>229</v>
      </c>
      <c r="QFJ77" t="s">
        <v>633</v>
      </c>
      <c r="QFK77" t="s">
        <v>229</v>
      </c>
      <c r="QFL77" t="s">
        <v>633</v>
      </c>
      <c r="QFM77" t="s">
        <v>229</v>
      </c>
      <c r="QFN77" t="s">
        <v>633</v>
      </c>
      <c r="QFO77" t="s">
        <v>229</v>
      </c>
      <c r="QFP77" t="s">
        <v>633</v>
      </c>
      <c r="QFQ77" t="s">
        <v>229</v>
      </c>
      <c r="QFR77" t="s">
        <v>633</v>
      </c>
      <c r="QFS77" t="s">
        <v>229</v>
      </c>
      <c r="QFT77" t="s">
        <v>633</v>
      </c>
      <c r="QFU77" t="s">
        <v>229</v>
      </c>
      <c r="QFV77" t="s">
        <v>633</v>
      </c>
      <c r="QFW77" t="s">
        <v>229</v>
      </c>
      <c r="QFX77" t="s">
        <v>633</v>
      </c>
      <c r="QFY77" t="s">
        <v>229</v>
      </c>
      <c r="QFZ77" t="s">
        <v>633</v>
      </c>
      <c r="QGA77" t="s">
        <v>229</v>
      </c>
      <c r="QGB77" t="s">
        <v>633</v>
      </c>
      <c r="QGC77" t="s">
        <v>229</v>
      </c>
      <c r="QGD77" t="s">
        <v>633</v>
      </c>
      <c r="QGE77" t="s">
        <v>229</v>
      </c>
      <c r="QGF77" t="s">
        <v>633</v>
      </c>
      <c r="QGG77" t="s">
        <v>229</v>
      </c>
      <c r="QGH77" t="s">
        <v>633</v>
      </c>
      <c r="QGI77" t="s">
        <v>229</v>
      </c>
      <c r="QGJ77" t="s">
        <v>633</v>
      </c>
      <c r="QGK77" t="s">
        <v>229</v>
      </c>
      <c r="QGL77" t="s">
        <v>633</v>
      </c>
      <c r="QGM77" t="s">
        <v>229</v>
      </c>
      <c r="QGN77" t="s">
        <v>633</v>
      </c>
      <c r="QGO77" t="s">
        <v>229</v>
      </c>
      <c r="QGP77" t="s">
        <v>633</v>
      </c>
      <c r="QGQ77" t="s">
        <v>229</v>
      </c>
      <c r="QGR77" t="s">
        <v>633</v>
      </c>
      <c r="QGS77" t="s">
        <v>229</v>
      </c>
      <c r="QGT77" t="s">
        <v>633</v>
      </c>
      <c r="QGU77" t="s">
        <v>229</v>
      </c>
      <c r="QGV77" t="s">
        <v>633</v>
      </c>
      <c r="QGW77" t="s">
        <v>229</v>
      </c>
      <c r="QGX77" t="s">
        <v>633</v>
      </c>
      <c r="QGY77" t="s">
        <v>229</v>
      </c>
      <c r="QGZ77" t="s">
        <v>633</v>
      </c>
      <c r="QHA77" t="s">
        <v>229</v>
      </c>
      <c r="QHB77" t="s">
        <v>633</v>
      </c>
      <c r="QHC77" t="s">
        <v>229</v>
      </c>
      <c r="QHD77" t="s">
        <v>633</v>
      </c>
      <c r="QHE77" t="s">
        <v>229</v>
      </c>
      <c r="QHF77" t="s">
        <v>633</v>
      </c>
      <c r="QHG77" t="s">
        <v>229</v>
      </c>
      <c r="QHH77" t="s">
        <v>633</v>
      </c>
      <c r="QHI77" t="s">
        <v>229</v>
      </c>
      <c r="QHJ77" t="s">
        <v>633</v>
      </c>
      <c r="QHK77" t="s">
        <v>229</v>
      </c>
      <c r="QHL77" t="s">
        <v>633</v>
      </c>
      <c r="QHM77" t="s">
        <v>229</v>
      </c>
      <c r="QHN77" t="s">
        <v>633</v>
      </c>
      <c r="QHO77" t="s">
        <v>229</v>
      </c>
      <c r="QHP77" t="s">
        <v>633</v>
      </c>
      <c r="QHQ77" t="s">
        <v>229</v>
      </c>
      <c r="QHR77" t="s">
        <v>633</v>
      </c>
      <c r="QHS77" t="s">
        <v>229</v>
      </c>
      <c r="QHT77" t="s">
        <v>633</v>
      </c>
      <c r="QHU77" t="s">
        <v>229</v>
      </c>
      <c r="QHV77" t="s">
        <v>633</v>
      </c>
      <c r="QHW77" t="s">
        <v>229</v>
      </c>
      <c r="QHX77" t="s">
        <v>633</v>
      </c>
      <c r="QHY77" t="s">
        <v>229</v>
      </c>
      <c r="QHZ77" t="s">
        <v>633</v>
      </c>
      <c r="QIA77" t="s">
        <v>229</v>
      </c>
      <c r="QIB77" t="s">
        <v>633</v>
      </c>
      <c r="QIC77" t="s">
        <v>229</v>
      </c>
      <c r="QID77" t="s">
        <v>633</v>
      </c>
      <c r="QIE77" t="s">
        <v>229</v>
      </c>
      <c r="QIF77" t="s">
        <v>633</v>
      </c>
      <c r="QIG77" t="s">
        <v>229</v>
      </c>
      <c r="QIH77" t="s">
        <v>633</v>
      </c>
      <c r="QII77" t="s">
        <v>229</v>
      </c>
      <c r="QIJ77" t="s">
        <v>633</v>
      </c>
      <c r="QIK77" t="s">
        <v>229</v>
      </c>
      <c r="QIL77" t="s">
        <v>633</v>
      </c>
      <c r="QIM77" t="s">
        <v>229</v>
      </c>
      <c r="QIN77" t="s">
        <v>633</v>
      </c>
      <c r="QIO77" t="s">
        <v>229</v>
      </c>
      <c r="QIP77" t="s">
        <v>633</v>
      </c>
      <c r="QIQ77" t="s">
        <v>229</v>
      </c>
      <c r="QIR77" t="s">
        <v>633</v>
      </c>
      <c r="QIS77" t="s">
        <v>229</v>
      </c>
      <c r="QIT77" t="s">
        <v>633</v>
      </c>
      <c r="QIU77" t="s">
        <v>229</v>
      </c>
      <c r="QIV77" t="s">
        <v>633</v>
      </c>
      <c r="QIW77" t="s">
        <v>229</v>
      </c>
      <c r="QIX77" t="s">
        <v>633</v>
      </c>
      <c r="QIY77" t="s">
        <v>229</v>
      </c>
      <c r="QIZ77" t="s">
        <v>633</v>
      </c>
      <c r="QJA77" t="s">
        <v>229</v>
      </c>
      <c r="QJB77" t="s">
        <v>633</v>
      </c>
      <c r="QJC77" t="s">
        <v>229</v>
      </c>
      <c r="QJD77" t="s">
        <v>633</v>
      </c>
      <c r="QJE77" t="s">
        <v>229</v>
      </c>
      <c r="QJF77" t="s">
        <v>633</v>
      </c>
      <c r="QJG77" t="s">
        <v>229</v>
      </c>
      <c r="QJH77" t="s">
        <v>633</v>
      </c>
      <c r="QJI77" t="s">
        <v>229</v>
      </c>
      <c r="QJJ77" t="s">
        <v>633</v>
      </c>
      <c r="QJK77" t="s">
        <v>229</v>
      </c>
      <c r="QJL77" t="s">
        <v>633</v>
      </c>
      <c r="QJM77" t="s">
        <v>229</v>
      </c>
      <c r="QJN77" t="s">
        <v>633</v>
      </c>
      <c r="QJO77" t="s">
        <v>229</v>
      </c>
      <c r="QJP77" t="s">
        <v>633</v>
      </c>
      <c r="QJQ77" t="s">
        <v>229</v>
      </c>
      <c r="QJR77" t="s">
        <v>633</v>
      </c>
      <c r="QJS77" t="s">
        <v>229</v>
      </c>
      <c r="QJT77" t="s">
        <v>633</v>
      </c>
      <c r="QJU77" t="s">
        <v>229</v>
      </c>
      <c r="QJV77" t="s">
        <v>633</v>
      </c>
      <c r="QJW77" t="s">
        <v>229</v>
      </c>
      <c r="QJX77" t="s">
        <v>633</v>
      </c>
      <c r="QJY77" t="s">
        <v>229</v>
      </c>
      <c r="QJZ77" t="s">
        <v>633</v>
      </c>
      <c r="QKA77" t="s">
        <v>229</v>
      </c>
      <c r="QKB77" t="s">
        <v>633</v>
      </c>
      <c r="QKC77" t="s">
        <v>229</v>
      </c>
      <c r="QKD77" t="s">
        <v>633</v>
      </c>
      <c r="QKE77" t="s">
        <v>229</v>
      </c>
      <c r="QKF77" t="s">
        <v>633</v>
      </c>
      <c r="QKG77" t="s">
        <v>229</v>
      </c>
      <c r="QKH77" t="s">
        <v>633</v>
      </c>
      <c r="QKI77" t="s">
        <v>229</v>
      </c>
      <c r="QKJ77" t="s">
        <v>633</v>
      </c>
      <c r="QKK77" t="s">
        <v>229</v>
      </c>
      <c r="QKL77" t="s">
        <v>633</v>
      </c>
      <c r="QKM77" t="s">
        <v>229</v>
      </c>
      <c r="QKN77" t="s">
        <v>633</v>
      </c>
      <c r="QKO77" t="s">
        <v>229</v>
      </c>
      <c r="QKP77" t="s">
        <v>633</v>
      </c>
      <c r="QKQ77" t="s">
        <v>229</v>
      </c>
      <c r="QKR77" t="s">
        <v>633</v>
      </c>
      <c r="QKS77" t="s">
        <v>229</v>
      </c>
      <c r="QKT77" t="s">
        <v>633</v>
      </c>
      <c r="QKU77" t="s">
        <v>229</v>
      </c>
      <c r="QKV77" t="s">
        <v>633</v>
      </c>
      <c r="QKW77" t="s">
        <v>229</v>
      </c>
      <c r="QKX77" t="s">
        <v>633</v>
      </c>
      <c r="QKY77" t="s">
        <v>229</v>
      </c>
      <c r="QKZ77" t="s">
        <v>633</v>
      </c>
      <c r="QLA77" t="s">
        <v>229</v>
      </c>
      <c r="QLB77" t="s">
        <v>633</v>
      </c>
      <c r="QLC77" t="s">
        <v>229</v>
      </c>
      <c r="QLD77" t="s">
        <v>633</v>
      </c>
      <c r="QLE77" t="s">
        <v>229</v>
      </c>
      <c r="QLF77" t="s">
        <v>633</v>
      </c>
      <c r="QLG77" t="s">
        <v>229</v>
      </c>
      <c r="QLH77" t="s">
        <v>633</v>
      </c>
      <c r="QLI77" t="s">
        <v>229</v>
      </c>
      <c r="QLJ77" t="s">
        <v>633</v>
      </c>
      <c r="QLK77" t="s">
        <v>229</v>
      </c>
      <c r="QLL77" t="s">
        <v>633</v>
      </c>
      <c r="QLM77" t="s">
        <v>229</v>
      </c>
      <c r="QLN77" t="s">
        <v>633</v>
      </c>
      <c r="QLO77" t="s">
        <v>229</v>
      </c>
      <c r="QLP77" t="s">
        <v>633</v>
      </c>
      <c r="QLQ77" t="s">
        <v>229</v>
      </c>
      <c r="QLR77" t="s">
        <v>633</v>
      </c>
      <c r="QLS77" t="s">
        <v>229</v>
      </c>
      <c r="QLT77" t="s">
        <v>633</v>
      </c>
      <c r="QLU77" t="s">
        <v>229</v>
      </c>
      <c r="QLV77" t="s">
        <v>633</v>
      </c>
      <c r="QLW77" t="s">
        <v>229</v>
      </c>
      <c r="QLX77" t="s">
        <v>633</v>
      </c>
      <c r="QLY77" t="s">
        <v>229</v>
      </c>
      <c r="QLZ77" t="s">
        <v>633</v>
      </c>
      <c r="QMA77" t="s">
        <v>229</v>
      </c>
      <c r="QMB77" t="s">
        <v>633</v>
      </c>
      <c r="QMC77" t="s">
        <v>229</v>
      </c>
      <c r="QMD77" t="s">
        <v>633</v>
      </c>
      <c r="QME77" t="s">
        <v>229</v>
      </c>
      <c r="QMF77" t="s">
        <v>633</v>
      </c>
      <c r="QMG77" t="s">
        <v>229</v>
      </c>
      <c r="QMH77" t="s">
        <v>633</v>
      </c>
      <c r="QMI77" t="s">
        <v>229</v>
      </c>
      <c r="QMJ77" t="s">
        <v>633</v>
      </c>
      <c r="QMK77" t="s">
        <v>229</v>
      </c>
      <c r="QML77" t="s">
        <v>633</v>
      </c>
      <c r="QMM77" t="s">
        <v>229</v>
      </c>
      <c r="QMN77" t="s">
        <v>633</v>
      </c>
      <c r="QMO77" t="s">
        <v>229</v>
      </c>
      <c r="QMP77" t="s">
        <v>633</v>
      </c>
      <c r="QMQ77" t="s">
        <v>229</v>
      </c>
      <c r="QMR77" t="s">
        <v>633</v>
      </c>
      <c r="QMS77" t="s">
        <v>229</v>
      </c>
      <c r="QMT77" t="s">
        <v>633</v>
      </c>
      <c r="QMU77" t="s">
        <v>229</v>
      </c>
      <c r="QMV77" t="s">
        <v>633</v>
      </c>
      <c r="QMW77" t="s">
        <v>229</v>
      </c>
      <c r="QMX77" t="s">
        <v>633</v>
      </c>
      <c r="QMY77" t="s">
        <v>229</v>
      </c>
      <c r="QMZ77" t="s">
        <v>633</v>
      </c>
      <c r="QNA77" t="s">
        <v>229</v>
      </c>
      <c r="QNB77" t="s">
        <v>633</v>
      </c>
      <c r="QNC77" t="s">
        <v>229</v>
      </c>
      <c r="QND77" t="s">
        <v>633</v>
      </c>
      <c r="QNE77" t="s">
        <v>229</v>
      </c>
      <c r="QNF77" t="s">
        <v>633</v>
      </c>
      <c r="QNG77" t="s">
        <v>229</v>
      </c>
      <c r="QNH77" t="s">
        <v>633</v>
      </c>
      <c r="QNI77" t="s">
        <v>229</v>
      </c>
      <c r="QNJ77" t="s">
        <v>633</v>
      </c>
      <c r="QNK77" t="s">
        <v>229</v>
      </c>
      <c r="QNL77" t="s">
        <v>633</v>
      </c>
      <c r="QNM77" t="s">
        <v>229</v>
      </c>
      <c r="QNN77" t="s">
        <v>633</v>
      </c>
      <c r="QNO77" t="s">
        <v>229</v>
      </c>
      <c r="QNP77" t="s">
        <v>633</v>
      </c>
      <c r="QNQ77" t="s">
        <v>229</v>
      </c>
      <c r="QNR77" t="s">
        <v>633</v>
      </c>
      <c r="QNS77" t="s">
        <v>229</v>
      </c>
      <c r="QNT77" t="s">
        <v>633</v>
      </c>
      <c r="QNU77" t="s">
        <v>229</v>
      </c>
      <c r="QNV77" t="s">
        <v>633</v>
      </c>
      <c r="QNW77" t="s">
        <v>229</v>
      </c>
      <c r="QNX77" t="s">
        <v>633</v>
      </c>
      <c r="QNY77" t="s">
        <v>229</v>
      </c>
      <c r="QNZ77" t="s">
        <v>633</v>
      </c>
      <c r="QOA77" t="s">
        <v>229</v>
      </c>
      <c r="QOB77" t="s">
        <v>633</v>
      </c>
      <c r="QOC77" t="s">
        <v>229</v>
      </c>
      <c r="QOD77" t="s">
        <v>633</v>
      </c>
      <c r="QOE77" t="s">
        <v>229</v>
      </c>
      <c r="QOF77" t="s">
        <v>633</v>
      </c>
      <c r="QOG77" t="s">
        <v>229</v>
      </c>
      <c r="QOH77" t="s">
        <v>633</v>
      </c>
      <c r="QOI77" t="s">
        <v>229</v>
      </c>
      <c r="QOJ77" t="s">
        <v>633</v>
      </c>
      <c r="QOK77" t="s">
        <v>229</v>
      </c>
      <c r="QOL77" t="s">
        <v>633</v>
      </c>
      <c r="QOM77" t="s">
        <v>229</v>
      </c>
      <c r="QON77" t="s">
        <v>633</v>
      </c>
      <c r="QOO77" t="s">
        <v>229</v>
      </c>
      <c r="QOP77" t="s">
        <v>633</v>
      </c>
      <c r="QOQ77" t="s">
        <v>229</v>
      </c>
      <c r="QOR77" t="s">
        <v>633</v>
      </c>
      <c r="QOS77" t="s">
        <v>229</v>
      </c>
      <c r="QOT77" t="s">
        <v>633</v>
      </c>
      <c r="QOU77" t="s">
        <v>229</v>
      </c>
      <c r="QOV77" t="s">
        <v>633</v>
      </c>
      <c r="QOW77" t="s">
        <v>229</v>
      </c>
      <c r="QOX77" t="s">
        <v>633</v>
      </c>
      <c r="QOY77" t="s">
        <v>229</v>
      </c>
      <c r="QOZ77" t="s">
        <v>633</v>
      </c>
      <c r="QPA77" t="s">
        <v>229</v>
      </c>
      <c r="QPB77" t="s">
        <v>633</v>
      </c>
      <c r="QPC77" t="s">
        <v>229</v>
      </c>
      <c r="QPD77" t="s">
        <v>633</v>
      </c>
      <c r="QPE77" t="s">
        <v>229</v>
      </c>
      <c r="QPF77" t="s">
        <v>633</v>
      </c>
      <c r="QPG77" t="s">
        <v>229</v>
      </c>
      <c r="QPH77" t="s">
        <v>633</v>
      </c>
      <c r="QPI77" t="s">
        <v>229</v>
      </c>
      <c r="QPJ77" t="s">
        <v>633</v>
      </c>
      <c r="QPK77" t="s">
        <v>229</v>
      </c>
      <c r="QPL77" t="s">
        <v>633</v>
      </c>
      <c r="QPM77" t="s">
        <v>229</v>
      </c>
      <c r="QPN77" t="s">
        <v>633</v>
      </c>
      <c r="QPO77" t="s">
        <v>229</v>
      </c>
      <c r="QPP77" t="s">
        <v>633</v>
      </c>
      <c r="QPQ77" t="s">
        <v>229</v>
      </c>
      <c r="QPR77" t="s">
        <v>633</v>
      </c>
      <c r="QPS77" t="s">
        <v>229</v>
      </c>
      <c r="QPT77" t="s">
        <v>633</v>
      </c>
      <c r="QPU77" t="s">
        <v>229</v>
      </c>
      <c r="QPV77" t="s">
        <v>633</v>
      </c>
      <c r="QPW77" t="s">
        <v>229</v>
      </c>
      <c r="QPX77" t="s">
        <v>633</v>
      </c>
      <c r="QPY77" t="s">
        <v>229</v>
      </c>
      <c r="QPZ77" t="s">
        <v>633</v>
      </c>
      <c r="QQA77" t="s">
        <v>229</v>
      </c>
      <c r="QQB77" t="s">
        <v>633</v>
      </c>
      <c r="QQC77" t="s">
        <v>229</v>
      </c>
      <c r="QQD77" t="s">
        <v>633</v>
      </c>
      <c r="QQE77" t="s">
        <v>229</v>
      </c>
      <c r="QQF77" t="s">
        <v>633</v>
      </c>
      <c r="QQG77" t="s">
        <v>229</v>
      </c>
      <c r="QQH77" t="s">
        <v>633</v>
      </c>
      <c r="QQI77" t="s">
        <v>229</v>
      </c>
      <c r="QQJ77" t="s">
        <v>633</v>
      </c>
      <c r="QQK77" t="s">
        <v>229</v>
      </c>
      <c r="QQL77" t="s">
        <v>633</v>
      </c>
      <c r="QQM77" t="s">
        <v>229</v>
      </c>
      <c r="QQN77" t="s">
        <v>633</v>
      </c>
      <c r="QQO77" t="s">
        <v>229</v>
      </c>
      <c r="QQP77" t="s">
        <v>633</v>
      </c>
      <c r="QQQ77" t="s">
        <v>229</v>
      </c>
      <c r="QQR77" t="s">
        <v>633</v>
      </c>
      <c r="QQS77" t="s">
        <v>229</v>
      </c>
      <c r="QQT77" t="s">
        <v>633</v>
      </c>
      <c r="QQU77" t="s">
        <v>229</v>
      </c>
      <c r="QQV77" t="s">
        <v>633</v>
      </c>
      <c r="QQW77" t="s">
        <v>229</v>
      </c>
      <c r="QQX77" t="s">
        <v>633</v>
      </c>
      <c r="QQY77" t="s">
        <v>229</v>
      </c>
      <c r="QQZ77" t="s">
        <v>633</v>
      </c>
      <c r="QRA77" t="s">
        <v>229</v>
      </c>
      <c r="QRB77" t="s">
        <v>633</v>
      </c>
      <c r="QRC77" t="s">
        <v>229</v>
      </c>
      <c r="QRD77" t="s">
        <v>633</v>
      </c>
      <c r="QRE77" t="s">
        <v>229</v>
      </c>
      <c r="QRF77" t="s">
        <v>633</v>
      </c>
      <c r="QRG77" t="s">
        <v>229</v>
      </c>
      <c r="QRH77" t="s">
        <v>633</v>
      </c>
      <c r="QRI77" t="s">
        <v>229</v>
      </c>
      <c r="QRJ77" t="s">
        <v>633</v>
      </c>
      <c r="QRK77" t="s">
        <v>229</v>
      </c>
      <c r="QRL77" t="s">
        <v>633</v>
      </c>
      <c r="QRM77" t="s">
        <v>229</v>
      </c>
      <c r="QRN77" t="s">
        <v>633</v>
      </c>
      <c r="QRO77" t="s">
        <v>229</v>
      </c>
      <c r="QRP77" t="s">
        <v>633</v>
      </c>
      <c r="QRQ77" t="s">
        <v>229</v>
      </c>
      <c r="QRR77" t="s">
        <v>633</v>
      </c>
      <c r="QRS77" t="s">
        <v>229</v>
      </c>
      <c r="QRT77" t="s">
        <v>633</v>
      </c>
      <c r="QRU77" t="s">
        <v>229</v>
      </c>
      <c r="QRV77" t="s">
        <v>633</v>
      </c>
      <c r="QRW77" t="s">
        <v>229</v>
      </c>
      <c r="QRX77" t="s">
        <v>633</v>
      </c>
      <c r="QRY77" t="s">
        <v>229</v>
      </c>
      <c r="QRZ77" t="s">
        <v>633</v>
      </c>
      <c r="QSA77" t="s">
        <v>229</v>
      </c>
      <c r="QSB77" t="s">
        <v>633</v>
      </c>
      <c r="QSC77" t="s">
        <v>229</v>
      </c>
      <c r="QSD77" t="s">
        <v>633</v>
      </c>
      <c r="QSE77" t="s">
        <v>229</v>
      </c>
      <c r="QSF77" t="s">
        <v>633</v>
      </c>
      <c r="QSG77" t="s">
        <v>229</v>
      </c>
      <c r="QSH77" t="s">
        <v>633</v>
      </c>
      <c r="QSI77" t="s">
        <v>229</v>
      </c>
      <c r="QSJ77" t="s">
        <v>633</v>
      </c>
      <c r="QSK77" t="s">
        <v>229</v>
      </c>
      <c r="QSL77" t="s">
        <v>633</v>
      </c>
      <c r="QSM77" t="s">
        <v>229</v>
      </c>
      <c r="QSN77" t="s">
        <v>633</v>
      </c>
      <c r="QSO77" t="s">
        <v>229</v>
      </c>
      <c r="QSP77" t="s">
        <v>633</v>
      </c>
      <c r="QSQ77" t="s">
        <v>229</v>
      </c>
      <c r="QSR77" t="s">
        <v>633</v>
      </c>
      <c r="QSS77" t="s">
        <v>229</v>
      </c>
      <c r="QST77" t="s">
        <v>633</v>
      </c>
      <c r="QSU77" t="s">
        <v>229</v>
      </c>
      <c r="QSV77" t="s">
        <v>633</v>
      </c>
      <c r="QSW77" t="s">
        <v>229</v>
      </c>
      <c r="QSX77" t="s">
        <v>633</v>
      </c>
      <c r="QSY77" t="s">
        <v>229</v>
      </c>
      <c r="QSZ77" t="s">
        <v>633</v>
      </c>
      <c r="QTA77" t="s">
        <v>229</v>
      </c>
      <c r="QTB77" t="s">
        <v>633</v>
      </c>
      <c r="QTC77" t="s">
        <v>229</v>
      </c>
      <c r="QTD77" t="s">
        <v>633</v>
      </c>
      <c r="QTE77" t="s">
        <v>229</v>
      </c>
      <c r="QTF77" t="s">
        <v>633</v>
      </c>
      <c r="QTG77" t="s">
        <v>229</v>
      </c>
      <c r="QTH77" t="s">
        <v>633</v>
      </c>
      <c r="QTI77" t="s">
        <v>229</v>
      </c>
      <c r="QTJ77" t="s">
        <v>633</v>
      </c>
      <c r="QTK77" t="s">
        <v>229</v>
      </c>
      <c r="QTL77" t="s">
        <v>633</v>
      </c>
      <c r="QTM77" t="s">
        <v>229</v>
      </c>
      <c r="QTN77" t="s">
        <v>633</v>
      </c>
      <c r="QTO77" t="s">
        <v>229</v>
      </c>
      <c r="QTP77" t="s">
        <v>633</v>
      </c>
      <c r="QTQ77" t="s">
        <v>229</v>
      </c>
      <c r="QTR77" t="s">
        <v>633</v>
      </c>
      <c r="QTS77" t="s">
        <v>229</v>
      </c>
      <c r="QTT77" t="s">
        <v>633</v>
      </c>
      <c r="QTU77" t="s">
        <v>229</v>
      </c>
      <c r="QTV77" t="s">
        <v>633</v>
      </c>
      <c r="QTW77" t="s">
        <v>229</v>
      </c>
      <c r="QTX77" t="s">
        <v>633</v>
      </c>
      <c r="QTY77" t="s">
        <v>229</v>
      </c>
      <c r="QTZ77" t="s">
        <v>633</v>
      </c>
      <c r="QUA77" t="s">
        <v>229</v>
      </c>
      <c r="QUB77" t="s">
        <v>633</v>
      </c>
      <c r="QUC77" t="s">
        <v>229</v>
      </c>
      <c r="QUD77" t="s">
        <v>633</v>
      </c>
      <c r="QUE77" t="s">
        <v>229</v>
      </c>
      <c r="QUF77" t="s">
        <v>633</v>
      </c>
      <c r="QUG77" t="s">
        <v>229</v>
      </c>
      <c r="QUH77" t="s">
        <v>633</v>
      </c>
      <c r="QUI77" t="s">
        <v>229</v>
      </c>
      <c r="QUJ77" t="s">
        <v>633</v>
      </c>
      <c r="QUK77" t="s">
        <v>229</v>
      </c>
      <c r="QUL77" t="s">
        <v>633</v>
      </c>
      <c r="QUM77" t="s">
        <v>229</v>
      </c>
      <c r="QUN77" t="s">
        <v>633</v>
      </c>
      <c r="QUO77" t="s">
        <v>229</v>
      </c>
      <c r="QUP77" t="s">
        <v>633</v>
      </c>
      <c r="QUQ77" t="s">
        <v>229</v>
      </c>
      <c r="QUR77" t="s">
        <v>633</v>
      </c>
      <c r="QUS77" t="s">
        <v>229</v>
      </c>
      <c r="QUT77" t="s">
        <v>633</v>
      </c>
      <c r="QUU77" t="s">
        <v>229</v>
      </c>
      <c r="QUV77" t="s">
        <v>633</v>
      </c>
      <c r="QUW77" t="s">
        <v>229</v>
      </c>
      <c r="QUX77" t="s">
        <v>633</v>
      </c>
      <c r="QUY77" t="s">
        <v>229</v>
      </c>
      <c r="QUZ77" t="s">
        <v>633</v>
      </c>
      <c r="QVA77" t="s">
        <v>229</v>
      </c>
      <c r="QVB77" t="s">
        <v>633</v>
      </c>
      <c r="QVC77" t="s">
        <v>229</v>
      </c>
      <c r="QVD77" t="s">
        <v>633</v>
      </c>
      <c r="QVE77" t="s">
        <v>229</v>
      </c>
      <c r="QVF77" t="s">
        <v>633</v>
      </c>
      <c r="QVG77" t="s">
        <v>229</v>
      </c>
      <c r="QVH77" t="s">
        <v>633</v>
      </c>
      <c r="QVI77" t="s">
        <v>229</v>
      </c>
      <c r="QVJ77" t="s">
        <v>633</v>
      </c>
      <c r="QVK77" t="s">
        <v>229</v>
      </c>
      <c r="QVL77" t="s">
        <v>633</v>
      </c>
      <c r="QVM77" t="s">
        <v>229</v>
      </c>
      <c r="QVN77" t="s">
        <v>633</v>
      </c>
      <c r="QVO77" t="s">
        <v>229</v>
      </c>
      <c r="QVP77" t="s">
        <v>633</v>
      </c>
      <c r="QVQ77" t="s">
        <v>229</v>
      </c>
      <c r="QVR77" t="s">
        <v>633</v>
      </c>
      <c r="QVS77" t="s">
        <v>229</v>
      </c>
      <c r="QVT77" t="s">
        <v>633</v>
      </c>
      <c r="QVU77" t="s">
        <v>229</v>
      </c>
      <c r="QVV77" t="s">
        <v>633</v>
      </c>
      <c r="QVW77" t="s">
        <v>229</v>
      </c>
      <c r="QVX77" t="s">
        <v>633</v>
      </c>
      <c r="QVY77" t="s">
        <v>229</v>
      </c>
      <c r="QVZ77" t="s">
        <v>633</v>
      </c>
      <c r="QWA77" t="s">
        <v>229</v>
      </c>
      <c r="QWB77" t="s">
        <v>633</v>
      </c>
      <c r="QWC77" t="s">
        <v>229</v>
      </c>
      <c r="QWD77" t="s">
        <v>633</v>
      </c>
      <c r="QWE77" t="s">
        <v>229</v>
      </c>
      <c r="QWF77" t="s">
        <v>633</v>
      </c>
      <c r="QWG77" t="s">
        <v>229</v>
      </c>
      <c r="QWH77" t="s">
        <v>633</v>
      </c>
      <c r="QWI77" t="s">
        <v>229</v>
      </c>
      <c r="QWJ77" t="s">
        <v>633</v>
      </c>
      <c r="QWK77" t="s">
        <v>229</v>
      </c>
      <c r="QWL77" t="s">
        <v>633</v>
      </c>
      <c r="QWM77" t="s">
        <v>229</v>
      </c>
      <c r="QWN77" t="s">
        <v>633</v>
      </c>
      <c r="QWO77" t="s">
        <v>229</v>
      </c>
      <c r="QWP77" t="s">
        <v>633</v>
      </c>
      <c r="QWQ77" t="s">
        <v>229</v>
      </c>
      <c r="QWR77" t="s">
        <v>633</v>
      </c>
      <c r="QWS77" t="s">
        <v>229</v>
      </c>
      <c r="QWT77" t="s">
        <v>633</v>
      </c>
      <c r="QWU77" t="s">
        <v>229</v>
      </c>
      <c r="QWV77" t="s">
        <v>633</v>
      </c>
      <c r="QWW77" t="s">
        <v>229</v>
      </c>
      <c r="QWX77" t="s">
        <v>633</v>
      </c>
      <c r="QWY77" t="s">
        <v>229</v>
      </c>
      <c r="QWZ77" t="s">
        <v>633</v>
      </c>
      <c r="QXA77" t="s">
        <v>229</v>
      </c>
      <c r="QXB77" t="s">
        <v>633</v>
      </c>
      <c r="QXC77" t="s">
        <v>229</v>
      </c>
      <c r="QXD77" t="s">
        <v>633</v>
      </c>
      <c r="QXE77" t="s">
        <v>229</v>
      </c>
      <c r="QXF77" t="s">
        <v>633</v>
      </c>
      <c r="QXG77" t="s">
        <v>229</v>
      </c>
      <c r="QXH77" t="s">
        <v>633</v>
      </c>
      <c r="QXI77" t="s">
        <v>229</v>
      </c>
      <c r="QXJ77" t="s">
        <v>633</v>
      </c>
      <c r="QXK77" t="s">
        <v>229</v>
      </c>
      <c r="QXL77" t="s">
        <v>633</v>
      </c>
      <c r="QXM77" t="s">
        <v>229</v>
      </c>
      <c r="QXN77" t="s">
        <v>633</v>
      </c>
      <c r="QXO77" t="s">
        <v>229</v>
      </c>
      <c r="QXP77" t="s">
        <v>633</v>
      </c>
      <c r="QXQ77" t="s">
        <v>229</v>
      </c>
      <c r="QXR77" t="s">
        <v>633</v>
      </c>
      <c r="QXS77" t="s">
        <v>229</v>
      </c>
      <c r="QXT77" t="s">
        <v>633</v>
      </c>
      <c r="QXU77" t="s">
        <v>229</v>
      </c>
      <c r="QXV77" t="s">
        <v>633</v>
      </c>
      <c r="QXW77" t="s">
        <v>229</v>
      </c>
      <c r="QXX77" t="s">
        <v>633</v>
      </c>
      <c r="QXY77" t="s">
        <v>229</v>
      </c>
      <c r="QXZ77" t="s">
        <v>633</v>
      </c>
      <c r="QYA77" t="s">
        <v>229</v>
      </c>
      <c r="QYB77" t="s">
        <v>633</v>
      </c>
      <c r="QYC77" t="s">
        <v>229</v>
      </c>
      <c r="QYD77" t="s">
        <v>633</v>
      </c>
      <c r="QYE77" t="s">
        <v>229</v>
      </c>
      <c r="QYF77" t="s">
        <v>633</v>
      </c>
      <c r="QYG77" t="s">
        <v>229</v>
      </c>
      <c r="QYH77" t="s">
        <v>633</v>
      </c>
      <c r="QYI77" t="s">
        <v>229</v>
      </c>
      <c r="QYJ77" t="s">
        <v>633</v>
      </c>
      <c r="QYK77" t="s">
        <v>229</v>
      </c>
      <c r="QYL77" t="s">
        <v>633</v>
      </c>
      <c r="QYM77" t="s">
        <v>229</v>
      </c>
      <c r="QYN77" t="s">
        <v>633</v>
      </c>
      <c r="QYO77" t="s">
        <v>229</v>
      </c>
      <c r="QYP77" t="s">
        <v>633</v>
      </c>
      <c r="QYQ77" t="s">
        <v>229</v>
      </c>
      <c r="QYR77" t="s">
        <v>633</v>
      </c>
      <c r="QYS77" t="s">
        <v>229</v>
      </c>
      <c r="QYT77" t="s">
        <v>633</v>
      </c>
      <c r="QYU77" t="s">
        <v>229</v>
      </c>
      <c r="QYV77" t="s">
        <v>633</v>
      </c>
      <c r="QYW77" t="s">
        <v>229</v>
      </c>
      <c r="QYX77" t="s">
        <v>633</v>
      </c>
      <c r="QYY77" t="s">
        <v>229</v>
      </c>
      <c r="QYZ77" t="s">
        <v>633</v>
      </c>
      <c r="QZA77" t="s">
        <v>229</v>
      </c>
      <c r="QZB77" t="s">
        <v>633</v>
      </c>
      <c r="QZC77" t="s">
        <v>229</v>
      </c>
      <c r="QZD77" t="s">
        <v>633</v>
      </c>
      <c r="QZE77" t="s">
        <v>229</v>
      </c>
      <c r="QZF77" t="s">
        <v>633</v>
      </c>
      <c r="QZG77" t="s">
        <v>229</v>
      </c>
      <c r="QZH77" t="s">
        <v>633</v>
      </c>
      <c r="QZI77" t="s">
        <v>229</v>
      </c>
      <c r="QZJ77" t="s">
        <v>633</v>
      </c>
      <c r="QZK77" t="s">
        <v>229</v>
      </c>
      <c r="QZL77" t="s">
        <v>633</v>
      </c>
      <c r="QZM77" t="s">
        <v>229</v>
      </c>
      <c r="QZN77" t="s">
        <v>633</v>
      </c>
      <c r="QZO77" t="s">
        <v>229</v>
      </c>
      <c r="QZP77" t="s">
        <v>633</v>
      </c>
      <c r="QZQ77" t="s">
        <v>229</v>
      </c>
      <c r="QZR77" t="s">
        <v>633</v>
      </c>
      <c r="QZS77" t="s">
        <v>229</v>
      </c>
      <c r="QZT77" t="s">
        <v>633</v>
      </c>
      <c r="QZU77" t="s">
        <v>229</v>
      </c>
      <c r="QZV77" t="s">
        <v>633</v>
      </c>
      <c r="QZW77" t="s">
        <v>229</v>
      </c>
      <c r="QZX77" t="s">
        <v>633</v>
      </c>
      <c r="QZY77" t="s">
        <v>229</v>
      </c>
      <c r="QZZ77" t="s">
        <v>633</v>
      </c>
      <c r="RAA77" t="s">
        <v>229</v>
      </c>
      <c r="RAB77" t="s">
        <v>633</v>
      </c>
      <c r="RAC77" t="s">
        <v>229</v>
      </c>
      <c r="RAD77" t="s">
        <v>633</v>
      </c>
      <c r="RAE77" t="s">
        <v>229</v>
      </c>
      <c r="RAF77" t="s">
        <v>633</v>
      </c>
      <c r="RAG77" t="s">
        <v>229</v>
      </c>
      <c r="RAH77" t="s">
        <v>633</v>
      </c>
      <c r="RAI77" t="s">
        <v>229</v>
      </c>
      <c r="RAJ77" t="s">
        <v>633</v>
      </c>
      <c r="RAK77" t="s">
        <v>229</v>
      </c>
      <c r="RAL77" t="s">
        <v>633</v>
      </c>
      <c r="RAM77" t="s">
        <v>229</v>
      </c>
      <c r="RAN77" t="s">
        <v>633</v>
      </c>
      <c r="RAO77" t="s">
        <v>229</v>
      </c>
      <c r="RAP77" t="s">
        <v>633</v>
      </c>
      <c r="RAQ77" t="s">
        <v>229</v>
      </c>
      <c r="RAR77" t="s">
        <v>633</v>
      </c>
      <c r="RAS77" t="s">
        <v>229</v>
      </c>
      <c r="RAT77" t="s">
        <v>633</v>
      </c>
      <c r="RAU77" t="s">
        <v>229</v>
      </c>
      <c r="RAV77" t="s">
        <v>633</v>
      </c>
      <c r="RAW77" t="s">
        <v>229</v>
      </c>
      <c r="RAX77" t="s">
        <v>633</v>
      </c>
      <c r="RAY77" t="s">
        <v>229</v>
      </c>
      <c r="RAZ77" t="s">
        <v>633</v>
      </c>
      <c r="RBA77" t="s">
        <v>229</v>
      </c>
      <c r="RBB77" t="s">
        <v>633</v>
      </c>
      <c r="RBC77" t="s">
        <v>229</v>
      </c>
      <c r="RBD77" t="s">
        <v>633</v>
      </c>
      <c r="RBE77" t="s">
        <v>229</v>
      </c>
      <c r="RBF77" t="s">
        <v>633</v>
      </c>
      <c r="RBG77" t="s">
        <v>229</v>
      </c>
      <c r="RBH77" t="s">
        <v>633</v>
      </c>
      <c r="RBI77" t="s">
        <v>229</v>
      </c>
      <c r="RBJ77" t="s">
        <v>633</v>
      </c>
      <c r="RBK77" t="s">
        <v>229</v>
      </c>
      <c r="RBL77" t="s">
        <v>633</v>
      </c>
      <c r="RBM77" t="s">
        <v>229</v>
      </c>
      <c r="RBN77" t="s">
        <v>633</v>
      </c>
      <c r="RBO77" t="s">
        <v>229</v>
      </c>
      <c r="RBP77" t="s">
        <v>633</v>
      </c>
      <c r="RBQ77" t="s">
        <v>229</v>
      </c>
      <c r="RBR77" t="s">
        <v>633</v>
      </c>
      <c r="RBS77" t="s">
        <v>229</v>
      </c>
      <c r="RBT77" t="s">
        <v>633</v>
      </c>
      <c r="RBU77" t="s">
        <v>229</v>
      </c>
      <c r="RBV77" t="s">
        <v>633</v>
      </c>
      <c r="RBW77" t="s">
        <v>229</v>
      </c>
      <c r="RBX77" t="s">
        <v>633</v>
      </c>
      <c r="RBY77" t="s">
        <v>229</v>
      </c>
      <c r="RBZ77" t="s">
        <v>633</v>
      </c>
      <c r="RCA77" t="s">
        <v>229</v>
      </c>
      <c r="RCB77" t="s">
        <v>633</v>
      </c>
      <c r="RCC77" t="s">
        <v>229</v>
      </c>
      <c r="RCD77" t="s">
        <v>633</v>
      </c>
      <c r="RCE77" t="s">
        <v>229</v>
      </c>
      <c r="RCF77" t="s">
        <v>633</v>
      </c>
      <c r="RCG77" t="s">
        <v>229</v>
      </c>
      <c r="RCH77" t="s">
        <v>633</v>
      </c>
      <c r="RCI77" t="s">
        <v>229</v>
      </c>
      <c r="RCJ77" t="s">
        <v>633</v>
      </c>
      <c r="RCK77" t="s">
        <v>229</v>
      </c>
      <c r="RCL77" t="s">
        <v>633</v>
      </c>
      <c r="RCM77" t="s">
        <v>229</v>
      </c>
      <c r="RCN77" t="s">
        <v>633</v>
      </c>
      <c r="RCO77" t="s">
        <v>229</v>
      </c>
      <c r="RCP77" t="s">
        <v>633</v>
      </c>
      <c r="RCQ77" t="s">
        <v>229</v>
      </c>
      <c r="RCR77" t="s">
        <v>633</v>
      </c>
      <c r="RCS77" t="s">
        <v>229</v>
      </c>
      <c r="RCT77" t="s">
        <v>633</v>
      </c>
      <c r="RCU77" t="s">
        <v>229</v>
      </c>
      <c r="RCV77" t="s">
        <v>633</v>
      </c>
      <c r="RCW77" t="s">
        <v>229</v>
      </c>
      <c r="RCX77" t="s">
        <v>633</v>
      </c>
      <c r="RCY77" t="s">
        <v>229</v>
      </c>
      <c r="RCZ77" t="s">
        <v>633</v>
      </c>
      <c r="RDA77" t="s">
        <v>229</v>
      </c>
      <c r="RDB77" t="s">
        <v>633</v>
      </c>
      <c r="RDC77" t="s">
        <v>229</v>
      </c>
      <c r="RDD77" t="s">
        <v>633</v>
      </c>
      <c r="RDE77" t="s">
        <v>229</v>
      </c>
      <c r="RDF77" t="s">
        <v>633</v>
      </c>
      <c r="RDG77" t="s">
        <v>229</v>
      </c>
      <c r="RDH77" t="s">
        <v>633</v>
      </c>
      <c r="RDI77" t="s">
        <v>229</v>
      </c>
      <c r="RDJ77" t="s">
        <v>633</v>
      </c>
      <c r="RDK77" t="s">
        <v>229</v>
      </c>
      <c r="RDL77" t="s">
        <v>633</v>
      </c>
      <c r="RDM77" t="s">
        <v>229</v>
      </c>
      <c r="RDN77" t="s">
        <v>633</v>
      </c>
      <c r="RDO77" t="s">
        <v>229</v>
      </c>
      <c r="RDP77" t="s">
        <v>633</v>
      </c>
      <c r="RDQ77" t="s">
        <v>229</v>
      </c>
      <c r="RDR77" t="s">
        <v>633</v>
      </c>
      <c r="RDS77" t="s">
        <v>229</v>
      </c>
      <c r="RDT77" t="s">
        <v>633</v>
      </c>
      <c r="RDU77" t="s">
        <v>229</v>
      </c>
      <c r="RDV77" t="s">
        <v>633</v>
      </c>
      <c r="RDW77" t="s">
        <v>229</v>
      </c>
      <c r="RDX77" t="s">
        <v>633</v>
      </c>
      <c r="RDY77" t="s">
        <v>229</v>
      </c>
      <c r="RDZ77" t="s">
        <v>633</v>
      </c>
      <c r="REA77" t="s">
        <v>229</v>
      </c>
      <c r="REB77" t="s">
        <v>633</v>
      </c>
      <c r="REC77" t="s">
        <v>229</v>
      </c>
      <c r="RED77" t="s">
        <v>633</v>
      </c>
      <c r="REE77" t="s">
        <v>229</v>
      </c>
      <c r="REF77" t="s">
        <v>633</v>
      </c>
      <c r="REG77" t="s">
        <v>229</v>
      </c>
      <c r="REH77" t="s">
        <v>633</v>
      </c>
      <c r="REI77" t="s">
        <v>229</v>
      </c>
      <c r="REJ77" t="s">
        <v>633</v>
      </c>
      <c r="REK77" t="s">
        <v>229</v>
      </c>
      <c r="REL77" t="s">
        <v>633</v>
      </c>
      <c r="REM77" t="s">
        <v>229</v>
      </c>
      <c r="REN77" t="s">
        <v>633</v>
      </c>
      <c r="REO77" t="s">
        <v>229</v>
      </c>
      <c r="REP77" t="s">
        <v>633</v>
      </c>
      <c r="REQ77" t="s">
        <v>229</v>
      </c>
      <c r="RER77" t="s">
        <v>633</v>
      </c>
      <c r="RES77" t="s">
        <v>229</v>
      </c>
      <c r="RET77" t="s">
        <v>633</v>
      </c>
      <c r="REU77" t="s">
        <v>229</v>
      </c>
      <c r="REV77" t="s">
        <v>633</v>
      </c>
      <c r="REW77" t="s">
        <v>229</v>
      </c>
      <c r="REX77" t="s">
        <v>633</v>
      </c>
      <c r="REY77" t="s">
        <v>229</v>
      </c>
      <c r="REZ77" t="s">
        <v>633</v>
      </c>
      <c r="RFA77" t="s">
        <v>229</v>
      </c>
      <c r="RFB77" t="s">
        <v>633</v>
      </c>
      <c r="RFC77" t="s">
        <v>229</v>
      </c>
      <c r="RFD77" t="s">
        <v>633</v>
      </c>
      <c r="RFE77" t="s">
        <v>229</v>
      </c>
      <c r="RFF77" t="s">
        <v>633</v>
      </c>
      <c r="RFG77" t="s">
        <v>229</v>
      </c>
      <c r="RFH77" t="s">
        <v>633</v>
      </c>
      <c r="RFI77" t="s">
        <v>229</v>
      </c>
      <c r="RFJ77" t="s">
        <v>633</v>
      </c>
      <c r="RFK77" t="s">
        <v>229</v>
      </c>
      <c r="RFL77" t="s">
        <v>633</v>
      </c>
      <c r="RFM77" t="s">
        <v>229</v>
      </c>
      <c r="RFN77" t="s">
        <v>633</v>
      </c>
      <c r="RFO77" t="s">
        <v>229</v>
      </c>
      <c r="RFP77" t="s">
        <v>633</v>
      </c>
      <c r="RFQ77" t="s">
        <v>229</v>
      </c>
      <c r="RFR77" t="s">
        <v>633</v>
      </c>
      <c r="RFS77" t="s">
        <v>229</v>
      </c>
      <c r="RFT77" t="s">
        <v>633</v>
      </c>
      <c r="RFU77" t="s">
        <v>229</v>
      </c>
      <c r="RFV77" t="s">
        <v>633</v>
      </c>
      <c r="RFW77" t="s">
        <v>229</v>
      </c>
      <c r="RFX77" t="s">
        <v>633</v>
      </c>
      <c r="RFY77" t="s">
        <v>229</v>
      </c>
      <c r="RFZ77" t="s">
        <v>633</v>
      </c>
      <c r="RGA77" t="s">
        <v>229</v>
      </c>
      <c r="RGB77" t="s">
        <v>633</v>
      </c>
      <c r="RGC77" t="s">
        <v>229</v>
      </c>
      <c r="RGD77" t="s">
        <v>633</v>
      </c>
      <c r="RGE77" t="s">
        <v>229</v>
      </c>
      <c r="RGF77" t="s">
        <v>633</v>
      </c>
      <c r="RGG77" t="s">
        <v>229</v>
      </c>
      <c r="RGH77" t="s">
        <v>633</v>
      </c>
      <c r="RGI77" t="s">
        <v>229</v>
      </c>
      <c r="RGJ77" t="s">
        <v>633</v>
      </c>
      <c r="RGK77" t="s">
        <v>229</v>
      </c>
      <c r="RGL77" t="s">
        <v>633</v>
      </c>
      <c r="RGM77" t="s">
        <v>229</v>
      </c>
      <c r="RGN77" t="s">
        <v>633</v>
      </c>
      <c r="RGO77" t="s">
        <v>229</v>
      </c>
      <c r="RGP77" t="s">
        <v>633</v>
      </c>
      <c r="RGQ77" t="s">
        <v>229</v>
      </c>
      <c r="RGR77" t="s">
        <v>633</v>
      </c>
      <c r="RGS77" t="s">
        <v>229</v>
      </c>
      <c r="RGT77" t="s">
        <v>633</v>
      </c>
      <c r="RGU77" t="s">
        <v>229</v>
      </c>
      <c r="RGV77" t="s">
        <v>633</v>
      </c>
      <c r="RGW77" t="s">
        <v>229</v>
      </c>
      <c r="RGX77" t="s">
        <v>633</v>
      </c>
      <c r="RGY77" t="s">
        <v>229</v>
      </c>
      <c r="RGZ77" t="s">
        <v>633</v>
      </c>
      <c r="RHA77" t="s">
        <v>229</v>
      </c>
      <c r="RHB77" t="s">
        <v>633</v>
      </c>
      <c r="RHC77" t="s">
        <v>229</v>
      </c>
      <c r="RHD77" t="s">
        <v>633</v>
      </c>
      <c r="RHE77" t="s">
        <v>229</v>
      </c>
      <c r="RHF77" t="s">
        <v>633</v>
      </c>
      <c r="RHG77" t="s">
        <v>229</v>
      </c>
      <c r="RHH77" t="s">
        <v>633</v>
      </c>
      <c r="RHI77" t="s">
        <v>229</v>
      </c>
      <c r="RHJ77" t="s">
        <v>633</v>
      </c>
      <c r="RHK77" t="s">
        <v>229</v>
      </c>
      <c r="RHL77" t="s">
        <v>633</v>
      </c>
      <c r="RHM77" t="s">
        <v>229</v>
      </c>
      <c r="RHN77" t="s">
        <v>633</v>
      </c>
      <c r="RHO77" t="s">
        <v>229</v>
      </c>
      <c r="RHP77" t="s">
        <v>633</v>
      </c>
      <c r="RHQ77" t="s">
        <v>229</v>
      </c>
      <c r="RHR77" t="s">
        <v>633</v>
      </c>
      <c r="RHS77" t="s">
        <v>229</v>
      </c>
      <c r="RHT77" t="s">
        <v>633</v>
      </c>
      <c r="RHU77" t="s">
        <v>229</v>
      </c>
      <c r="RHV77" t="s">
        <v>633</v>
      </c>
      <c r="RHW77" t="s">
        <v>229</v>
      </c>
      <c r="RHX77" t="s">
        <v>633</v>
      </c>
      <c r="RHY77" t="s">
        <v>229</v>
      </c>
      <c r="RHZ77" t="s">
        <v>633</v>
      </c>
      <c r="RIA77" t="s">
        <v>229</v>
      </c>
      <c r="RIB77" t="s">
        <v>633</v>
      </c>
      <c r="RIC77" t="s">
        <v>229</v>
      </c>
      <c r="RID77" t="s">
        <v>633</v>
      </c>
      <c r="RIE77" t="s">
        <v>229</v>
      </c>
      <c r="RIF77" t="s">
        <v>633</v>
      </c>
      <c r="RIG77" t="s">
        <v>229</v>
      </c>
      <c r="RIH77" t="s">
        <v>633</v>
      </c>
      <c r="RII77" t="s">
        <v>229</v>
      </c>
      <c r="RIJ77" t="s">
        <v>633</v>
      </c>
      <c r="RIK77" t="s">
        <v>229</v>
      </c>
      <c r="RIL77" t="s">
        <v>633</v>
      </c>
      <c r="RIM77" t="s">
        <v>229</v>
      </c>
      <c r="RIN77" t="s">
        <v>633</v>
      </c>
      <c r="RIO77" t="s">
        <v>229</v>
      </c>
      <c r="RIP77" t="s">
        <v>633</v>
      </c>
      <c r="RIQ77" t="s">
        <v>229</v>
      </c>
      <c r="RIR77" t="s">
        <v>633</v>
      </c>
      <c r="RIS77" t="s">
        <v>229</v>
      </c>
      <c r="RIT77" t="s">
        <v>633</v>
      </c>
      <c r="RIU77" t="s">
        <v>229</v>
      </c>
      <c r="RIV77" t="s">
        <v>633</v>
      </c>
      <c r="RIW77" t="s">
        <v>229</v>
      </c>
      <c r="RIX77" t="s">
        <v>633</v>
      </c>
      <c r="RIY77" t="s">
        <v>229</v>
      </c>
      <c r="RIZ77" t="s">
        <v>633</v>
      </c>
      <c r="RJA77" t="s">
        <v>229</v>
      </c>
      <c r="RJB77" t="s">
        <v>633</v>
      </c>
      <c r="RJC77" t="s">
        <v>229</v>
      </c>
      <c r="RJD77" t="s">
        <v>633</v>
      </c>
      <c r="RJE77" t="s">
        <v>229</v>
      </c>
      <c r="RJF77" t="s">
        <v>633</v>
      </c>
      <c r="RJG77" t="s">
        <v>229</v>
      </c>
      <c r="RJH77" t="s">
        <v>633</v>
      </c>
      <c r="RJI77" t="s">
        <v>229</v>
      </c>
      <c r="RJJ77" t="s">
        <v>633</v>
      </c>
      <c r="RJK77" t="s">
        <v>229</v>
      </c>
      <c r="RJL77" t="s">
        <v>633</v>
      </c>
      <c r="RJM77" t="s">
        <v>229</v>
      </c>
      <c r="RJN77" t="s">
        <v>633</v>
      </c>
      <c r="RJO77" t="s">
        <v>229</v>
      </c>
      <c r="RJP77" t="s">
        <v>633</v>
      </c>
      <c r="RJQ77" t="s">
        <v>229</v>
      </c>
      <c r="RJR77" t="s">
        <v>633</v>
      </c>
      <c r="RJS77" t="s">
        <v>229</v>
      </c>
      <c r="RJT77" t="s">
        <v>633</v>
      </c>
      <c r="RJU77" t="s">
        <v>229</v>
      </c>
      <c r="RJV77" t="s">
        <v>633</v>
      </c>
      <c r="RJW77" t="s">
        <v>229</v>
      </c>
      <c r="RJX77" t="s">
        <v>633</v>
      </c>
      <c r="RJY77" t="s">
        <v>229</v>
      </c>
      <c r="RJZ77" t="s">
        <v>633</v>
      </c>
      <c r="RKA77" t="s">
        <v>229</v>
      </c>
      <c r="RKB77" t="s">
        <v>633</v>
      </c>
      <c r="RKC77" t="s">
        <v>229</v>
      </c>
      <c r="RKD77" t="s">
        <v>633</v>
      </c>
      <c r="RKE77" t="s">
        <v>229</v>
      </c>
      <c r="RKF77" t="s">
        <v>633</v>
      </c>
      <c r="RKG77" t="s">
        <v>229</v>
      </c>
      <c r="RKH77" t="s">
        <v>633</v>
      </c>
      <c r="RKI77" t="s">
        <v>229</v>
      </c>
      <c r="RKJ77" t="s">
        <v>633</v>
      </c>
      <c r="RKK77" t="s">
        <v>229</v>
      </c>
      <c r="RKL77" t="s">
        <v>633</v>
      </c>
      <c r="RKM77" t="s">
        <v>229</v>
      </c>
      <c r="RKN77" t="s">
        <v>633</v>
      </c>
      <c r="RKO77" t="s">
        <v>229</v>
      </c>
      <c r="RKP77" t="s">
        <v>633</v>
      </c>
      <c r="RKQ77" t="s">
        <v>229</v>
      </c>
      <c r="RKR77" t="s">
        <v>633</v>
      </c>
      <c r="RKS77" t="s">
        <v>229</v>
      </c>
      <c r="RKT77" t="s">
        <v>633</v>
      </c>
      <c r="RKU77" t="s">
        <v>229</v>
      </c>
      <c r="RKV77" t="s">
        <v>633</v>
      </c>
      <c r="RKW77" t="s">
        <v>229</v>
      </c>
      <c r="RKX77" t="s">
        <v>633</v>
      </c>
      <c r="RKY77" t="s">
        <v>229</v>
      </c>
      <c r="RKZ77" t="s">
        <v>633</v>
      </c>
      <c r="RLA77" t="s">
        <v>229</v>
      </c>
      <c r="RLB77" t="s">
        <v>633</v>
      </c>
      <c r="RLC77" t="s">
        <v>229</v>
      </c>
      <c r="RLD77" t="s">
        <v>633</v>
      </c>
      <c r="RLE77" t="s">
        <v>229</v>
      </c>
      <c r="RLF77" t="s">
        <v>633</v>
      </c>
      <c r="RLG77" t="s">
        <v>229</v>
      </c>
      <c r="RLH77" t="s">
        <v>633</v>
      </c>
      <c r="RLI77" t="s">
        <v>229</v>
      </c>
      <c r="RLJ77" t="s">
        <v>633</v>
      </c>
      <c r="RLK77" t="s">
        <v>229</v>
      </c>
      <c r="RLL77" t="s">
        <v>633</v>
      </c>
      <c r="RLM77" t="s">
        <v>229</v>
      </c>
      <c r="RLN77" t="s">
        <v>633</v>
      </c>
      <c r="RLO77" t="s">
        <v>229</v>
      </c>
      <c r="RLP77" t="s">
        <v>633</v>
      </c>
      <c r="RLQ77" t="s">
        <v>229</v>
      </c>
      <c r="RLR77" t="s">
        <v>633</v>
      </c>
      <c r="RLS77" t="s">
        <v>229</v>
      </c>
      <c r="RLT77" t="s">
        <v>633</v>
      </c>
      <c r="RLU77" t="s">
        <v>229</v>
      </c>
      <c r="RLV77" t="s">
        <v>633</v>
      </c>
      <c r="RLW77" t="s">
        <v>229</v>
      </c>
      <c r="RLX77" t="s">
        <v>633</v>
      </c>
      <c r="RLY77" t="s">
        <v>229</v>
      </c>
      <c r="RLZ77" t="s">
        <v>633</v>
      </c>
      <c r="RMA77" t="s">
        <v>229</v>
      </c>
      <c r="RMB77" t="s">
        <v>633</v>
      </c>
      <c r="RMC77" t="s">
        <v>229</v>
      </c>
      <c r="RMD77" t="s">
        <v>633</v>
      </c>
      <c r="RME77" t="s">
        <v>229</v>
      </c>
      <c r="RMF77" t="s">
        <v>633</v>
      </c>
      <c r="RMG77" t="s">
        <v>229</v>
      </c>
      <c r="RMH77" t="s">
        <v>633</v>
      </c>
      <c r="RMI77" t="s">
        <v>229</v>
      </c>
      <c r="RMJ77" t="s">
        <v>633</v>
      </c>
      <c r="RMK77" t="s">
        <v>229</v>
      </c>
      <c r="RML77" t="s">
        <v>633</v>
      </c>
      <c r="RMM77" t="s">
        <v>229</v>
      </c>
      <c r="RMN77" t="s">
        <v>633</v>
      </c>
      <c r="RMO77" t="s">
        <v>229</v>
      </c>
      <c r="RMP77" t="s">
        <v>633</v>
      </c>
      <c r="RMQ77" t="s">
        <v>229</v>
      </c>
      <c r="RMR77" t="s">
        <v>633</v>
      </c>
      <c r="RMS77" t="s">
        <v>229</v>
      </c>
      <c r="RMT77" t="s">
        <v>633</v>
      </c>
      <c r="RMU77" t="s">
        <v>229</v>
      </c>
      <c r="RMV77" t="s">
        <v>633</v>
      </c>
      <c r="RMW77" t="s">
        <v>229</v>
      </c>
      <c r="RMX77" t="s">
        <v>633</v>
      </c>
      <c r="RMY77" t="s">
        <v>229</v>
      </c>
      <c r="RMZ77" t="s">
        <v>633</v>
      </c>
      <c r="RNA77" t="s">
        <v>229</v>
      </c>
      <c r="RNB77" t="s">
        <v>633</v>
      </c>
      <c r="RNC77" t="s">
        <v>229</v>
      </c>
      <c r="RND77" t="s">
        <v>633</v>
      </c>
      <c r="RNE77" t="s">
        <v>229</v>
      </c>
      <c r="RNF77" t="s">
        <v>633</v>
      </c>
      <c r="RNG77" t="s">
        <v>229</v>
      </c>
      <c r="RNH77" t="s">
        <v>633</v>
      </c>
      <c r="RNI77" t="s">
        <v>229</v>
      </c>
      <c r="RNJ77" t="s">
        <v>633</v>
      </c>
      <c r="RNK77" t="s">
        <v>229</v>
      </c>
      <c r="RNL77" t="s">
        <v>633</v>
      </c>
      <c r="RNM77" t="s">
        <v>229</v>
      </c>
      <c r="RNN77" t="s">
        <v>633</v>
      </c>
      <c r="RNO77" t="s">
        <v>229</v>
      </c>
      <c r="RNP77" t="s">
        <v>633</v>
      </c>
      <c r="RNQ77" t="s">
        <v>229</v>
      </c>
      <c r="RNR77" t="s">
        <v>633</v>
      </c>
      <c r="RNS77" t="s">
        <v>229</v>
      </c>
      <c r="RNT77" t="s">
        <v>633</v>
      </c>
      <c r="RNU77" t="s">
        <v>229</v>
      </c>
      <c r="RNV77" t="s">
        <v>633</v>
      </c>
      <c r="RNW77" t="s">
        <v>229</v>
      </c>
      <c r="RNX77" t="s">
        <v>633</v>
      </c>
      <c r="RNY77" t="s">
        <v>229</v>
      </c>
      <c r="RNZ77" t="s">
        <v>633</v>
      </c>
      <c r="ROA77" t="s">
        <v>229</v>
      </c>
      <c r="ROB77" t="s">
        <v>633</v>
      </c>
      <c r="ROC77" t="s">
        <v>229</v>
      </c>
      <c r="ROD77" t="s">
        <v>633</v>
      </c>
      <c r="ROE77" t="s">
        <v>229</v>
      </c>
      <c r="ROF77" t="s">
        <v>633</v>
      </c>
      <c r="ROG77" t="s">
        <v>229</v>
      </c>
      <c r="ROH77" t="s">
        <v>633</v>
      </c>
      <c r="ROI77" t="s">
        <v>229</v>
      </c>
      <c r="ROJ77" t="s">
        <v>633</v>
      </c>
      <c r="ROK77" t="s">
        <v>229</v>
      </c>
      <c r="ROL77" t="s">
        <v>633</v>
      </c>
      <c r="ROM77" t="s">
        <v>229</v>
      </c>
      <c r="RON77" t="s">
        <v>633</v>
      </c>
      <c r="ROO77" t="s">
        <v>229</v>
      </c>
      <c r="ROP77" t="s">
        <v>633</v>
      </c>
      <c r="ROQ77" t="s">
        <v>229</v>
      </c>
      <c r="ROR77" t="s">
        <v>633</v>
      </c>
      <c r="ROS77" t="s">
        <v>229</v>
      </c>
      <c r="ROT77" t="s">
        <v>633</v>
      </c>
      <c r="ROU77" t="s">
        <v>229</v>
      </c>
      <c r="ROV77" t="s">
        <v>633</v>
      </c>
      <c r="ROW77" t="s">
        <v>229</v>
      </c>
      <c r="ROX77" t="s">
        <v>633</v>
      </c>
      <c r="ROY77" t="s">
        <v>229</v>
      </c>
      <c r="ROZ77" t="s">
        <v>633</v>
      </c>
      <c r="RPA77" t="s">
        <v>229</v>
      </c>
      <c r="RPB77" t="s">
        <v>633</v>
      </c>
      <c r="RPC77" t="s">
        <v>229</v>
      </c>
      <c r="RPD77" t="s">
        <v>633</v>
      </c>
      <c r="RPE77" t="s">
        <v>229</v>
      </c>
      <c r="RPF77" t="s">
        <v>633</v>
      </c>
      <c r="RPG77" t="s">
        <v>229</v>
      </c>
      <c r="RPH77" t="s">
        <v>633</v>
      </c>
      <c r="RPI77" t="s">
        <v>229</v>
      </c>
      <c r="RPJ77" t="s">
        <v>633</v>
      </c>
      <c r="RPK77" t="s">
        <v>229</v>
      </c>
      <c r="RPL77" t="s">
        <v>633</v>
      </c>
      <c r="RPM77" t="s">
        <v>229</v>
      </c>
      <c r="RPN77" t="s">
        <v>633</v>
      </c>
      <c r="RPO77" t="s">
        <v>229</v>
      </c>
      <c r="RPP77" t="s">
        <v>633</v>
      </c>
      <c r="RPQ77" t="s">
        <v>229</v>
      </c>
      <c r="RPR77" t="s">
        <v>633</v>
      </c>
      <c r="RPS77" t="s">
        <v>229</v>
      </c>
      <c r="RPT77" t="s">
        <v>633</v>
      </c>
      <c r="RPU77" t="s">
        <v>229</v>
      </c>
      <c r="RPV77" t="s">
        <v>633</v>
      </c>
      <c r="RPW77" t="s">
        <v>229</v>
      </c>
      <c r="RPX77" t="s">
        <v>633</v>
      </c>
      <c r="RPY77" t="s">
        <v>229</v>
      </c>
      <c r="RPZ77" t="s">
        <v>633</v>
      </c>
      <c r="RQA77" t="s">
        <v>229</v>
      </c>
      <c r="RQB77" t="s">
        <v>633</v>
      </c>
      <c r="RQC77" t="s">
        <v>229</v>
      </c>
      <c r="RQD77" t="s">
        <v>633</v>
      </c>
      <c r="RQE77" t="s">
        <v>229</v>
      </c>
      <c r="RQF77" t="s">
        <v>633</v>
      </c>
      <c r="RQG77" t="s">
        <v>229</v>
      </c>
      <c r="RQH77" t="s">
        <v>633</v>
      </c>
      <c r="RQI77" t="s">
        <v>229</v>
      </c>
      <c r="RQJ77" t="s">
        <v>633</v>
      </c>
      <c r="RQK77" t="s">
        <v>229</v>
      </c>
      <c r="RQL77" t="s">
        <v>633</v>
      </c>
      <c r="RQM77" t="s">
        <v>229</v>
      </c>
      <c r="RQN77" t="s">
        <v>633</v>
      </c>
      <c r="RQO77" t="s">
        <v>229</v>
      </c>
      <c r="RQP77" t="s">
        <v>633</v>
      </c>
      <c r="RQQ77" t="s">
        <v>229</v>
      </c>
      <c r="RQR77" t="s">
        <v>633</v>
      </c>
      <c r="RQS77" t="s">
        <v>229</v>
      </c>
      <c r="RQT77" t="s">
        <v>633</v>
      </c>
      <c r="RQU77" t="s">
        <v>229</v>
      </c>
      <c r="RQV77" t="s">
        <v>633</v>
      </c>
      <c r="RQW77" t="s">
        <v>229</v>
      </c>
      <c r="RQX77" t="s">
        <v>633</v>
      </c>
      <c r="RQY77" t="s">
        <v>229</v>
      </c>
      <c r="RQZ77" t="s">
        <v>633</v>
      </c>
      <c r="RRA77" t="s">
        <v>229</v>
      </c>
      <c r="RRB77" t="s">
        <v>633</v>
      </c>
      <c r="RRC77" t="s">
        <v>229</v>
      </c>
      <c r="RRD77" t="s">
        <v>633</v>
      </c>
      <c r="RRE77" t="s">
        <v>229</v>
      </c>
      <c r="RRF77" t="s">
        <v>633</v>
      </c>
      <c r="RRG77" t="s">
        <v>229</v>
      </c>
      <c r="RRH77" t="s">
        <v>633</v>
      </c>
      <c r="RRI77" t="s">
        <v>229</v>
      </c>
      <c r="RRJ77" t="s">
        <v>633</v>
      </c>
      <c r="RRK77" t="s">
        <v>229</v>
      </c>
      <c r="RRL77" t="s">
        <v>633</v>
      </c>
      <c r="RRM77" t="s">
        <v>229</v>
      </c>
      <c r="RRN77" t="s">
        <v>633</v>
      </c>
      <c r="RRO77" t="s">
        <v>229</v>
      </c>
      <c r="RRP77" t="s">
        <v>633</v>
      </c>
      <c r="RRQ77" t="s">
        <v>229</v>
      </c>
      <c r="RRR77" t="s">
        <v>633</v>
      </c>
      <c r="RRS77" t="s">
        <v>229</v>
      </c>
      <c r="RRT77" t="s">
        <v>633</v>
      </c>
      <c r="RRU77" t="s">
        <v>229</v>
      </c>
      <c r="RRV77" t="s">
        <v>633</v>
      </c>
      <c r="RRW77" t="s">
        <v>229</v>
      </c>
      <c r="RRX77" t="s">
        <v>633</v>
      </c>
      <c r="RRY77" t="s">
        <v>229</v>
      </c>
      <c r="RRZ77" t="s">
        <v>633</v>
      </c>
      <c r="RSA77" t="s">
        <v>229</v>
      </c>
      <c r="RSB77" t="s">
        <v>633</v>
      </c>
      <c r="RSC77" t="s">
        <v>229</v>
      </c>
      <c r="RSD77" t="s">
        <v>633</v>
      </c>
      <c r="RSE77" t="s">
        <v>229</v>
      </c>
      <c r="RSF77" t="s">
        <v>633</v>
      </c>
      <c r="RSG77" t="s">
        <v>229</v>
      </c>
      <c r="RSH77" t="s">
        <v>633</v>
      </c>
      <c r="RSI77" t="s">
        <v>229</v>
      </c>
      <c r="RSJ77" t="s">
        <v>633</v>
      </c>
      <c r="RSK77" t="s">
        <v>229</v>
      </c>
      <c r="RSL77" t="s">
        <v>633</v>
      </c>
      <c r="RSM77" t="s">
        <v>229</v>
      </c>
      <c r="RSN77" t="s">
        <v>633</v>
      </c>
      <c r="RSO77" t="s">
        <v>229</v>
      </c>
      <c r="RSP77" t="s">
        <v>633</v>
      </c>
      <c r="RSQ77" t="s">
        <v>229</v>
      </c>
      <c r="RSR77" t="s">
        <v>633</v>
      </c>
      <c r="RSS77" t="s">
        <v>229</v>
      </c>
      <c r="RST77" t="s">
        <v>633</v>
      </c>
      <c r="RSU77" t="s">
        <v>229</v>
      </c>
      <c r="RSV77" t="s">
        <v>633</v>
      </c>
      <c r="RSW77" t="s">
        <v>229</v>
      </c>
      <c r="RSX77" t="s">
        <v>633</v>
      </c>
      <c r="RSY77" t="s">
        <v>229</v>
      </c>
      <c r="RSZ77" t="s">
        <v>633</v>
      </c>
      <c r="RTA77" t="s">
        <v>229</v>
      </c>
      <c r="RTB77" t="s">
        <v>633</v>
      </c>
      <c r="RTC77" t="s">
        <v>229</v>
      </c>
      <c r="RTD77" t="s">
        <v>633</v>
      </c>
      <c r="RTE77" t="s">
        <v>229</v>
      </c>
      <c r="RTF77" t="s">
        <v>633</v>
      </c>
      <c r="RTG77" t="s">
        <v>229</v>
      </c>
      <c r="RTH77" t="s">
        <v>633</v>
      </c>
      <c r="RTI77" t="s">
        <v>229</v>
      </c>
      <c r="RTJ77" t="s">
        <v>633</v>
      </c>
      <c r="RTK77" t="s">
        <v>229</v>
      </c>
      <c r="RTL77" t="s">
        <v>633</v>
      </c>
      <c r="RTM77" t="s">
        <v>229</v>
      </c>
      <c r="RTN77" t="s">
        <v>633</v>
      </c>
      <c r="RTO77" t="s">
        <v>229</v>
      </c>
      <c r="RTP77" t="s">
        <v>633</v>
      </c>
      <c r="RTQ77" t="s">
        <v>229</v>
      </c>
      <c r="RTR77" t="s">
        <v>633</v>
      </c>
      <c r="RTS77" t="s">
        <v>229</v>
      </c>
      <c r="RTT77" t="s">
        <v>633</v>
      </c>
      <c r="RTU77" t="s">
        <v>229</v>
      </c>
      <c r="RTV77" t="s">
        <v>633</v>
      </c>
      <c r="RTW77" t="s">
        <v>229</v>
      </c>
      <c r="RTX77" t="s">
        <v>633</v>
      </c>
      <c r="RTY77" t="s">
        <v>229</v>
      </c>
      <c r="RTZ77" t="s">
        <v>633</v>
      </c>
      <c r="RUA77" t="s">
        <v>229</v>
      </c>
      <c r="RUB77" t="s">
        <v>633</v>
      </c>
      <c r="RUC77" t="s">
        <v>229</v>
      </c>
      <c r="RUD77" t="s">
        <v>633</v>
      </c>
      <c r="RUE77" t="s">
        <v>229</v>
      </c>
      <c r="RUF77" t="s">
        <v>633</v>
      </c>
      <c r="RUG77" t="s">
        <v>229</v>
      </c>
      <c r="RUH77" t="s">
        <v>633</v>
      </c>
      <c r="RUI77" t="s">
        <v>229</v>
      </c>
      <c r="RUJ77" t="s">
        <v>633</v>
      </c>
      <c r="RUK77" t="s">
        <v>229</v>
      </c>
      <c r="RUL77" t="s">
        <v>633</v>
      </c>
      <c r="RUM77" t="s">
        <v>229</v>
      </c>
      <c r="RUN77" t="s">
        <v>633</v>
      </c>
      <c r="RUO77" t="s">
        <v>229</v>
      </c>
      <c r="RUP77" t="s">
        <v>633</v>
      </c>
      <c r="RUQ77" t="s">
        <v>229</v>
      </c>
      <c r="RUR77" t="s">
        <v>633</v>
      </c>
      <c r="RUS77" t="s">
        <v>229</v>
      </c>
      <c r="RUT77" t="s">
        <v>633</v>
      </c>
      <c r="RUU77" t="s">
        <v>229</v>
      </c>
      <c r="RUV77" t="s">
        <v>633</v>
      </c>
      <c r="RUW77" t="s">
        <v>229</v>
      </c>
      <c r="RUX77" t="s">
        <v>633</v>
      </c>
      <c r="RUY77" t="s">
        <v>229</v>
      </c>
      <c r="RUZ77" t="s">
        <v>633</v>
      </c>
      <c r="RVA77" t="s">
        <v>229</v>
      </c>
      <c r="RVB77" t="s">
        <v>633</v>
      </c>
      <c r="RVC77" t="s">
        <v>229</v>
      </c>
      <c r="RVD77" t="s">
        <v>633</v>
      </c>
      <c r="RVE77" t="s">
        <v>229</v>
      </c>
      <c r="RVF77" t="s">
        <v>633</v>
      </c>
      <c r="RVG77" t="s">
        <v>229</v>
      </c>
      <c r="RVH77" t="s">
        <v>633</v>
      </c>
      <c r="RVI77" t="s">
        <v>229</v>
      </c>
      <c r="RVJ77" t="s">
        <v>633</v>
      </c>
      <c r="RVK77" t="s">
        <v>229</v>
      </c>
      <c r="RVL77" t="s">
        <v>633</v>
      </c>
      <c r="RVM77" t="s">
        <v>229</v>
      </c>
      <c r="RVN77" t="s">
        <v>633</v>
      </c>
      <c r="RVO77" t="s">
        <v>229</v>
      </c>
      <c r="RVP77" t="s">
        <v>633</v>
      </c>
      <c r="RVQ77" t="s">
        <v>229</v>
      </c>
      <c r="RVR77" t="s">
        <v>633</v>
      </c>
      <c r="RVS77" t="s">
        <v>229</v>
      </c>
      <c r="RVT77" t="s">
        <v>633</v>
      </c>
      <c r="RVU77" t="s">
        <v>229</v>
      </c>
      <c r="RVV77" t="s">
        <v>633</v>
      </c>
      <c r="RVW77" t="s">
        <v>229</v>
      </c>
      <c r="RVX77" t="s">
        <v>633</v>
      </c>
      <c r="RVY77" t="s">
        <v>229</v>
      </c>
      <c r="RVZ77" t="s">
        <v>633</v>
      </c>
      <c r="RWA77" t="s">
        <v>229</v>
      </c>
      <c r="RWB77" t="s">
        <v>633</v>
      </c>
      <c r="RWC77" t="s">
        <v>229</v>
      </c>
      <c r="RWD77" t="s">
        <v>633</v>
      </c>
      <c r="RWE77" t="s">
        <v>229</v>
      </c>
      <c r="RWF77" t="s">
        <v>633</v>
      </c>
      <c r="RWG77" t="s">
        <v>229</v>
      </c>
      <c r="RWH77" t="s">
        <v>633</v>
      </c>
      <c r="RWI77" t="s">
        <v>229</v>
      </c>
      <c r="RWJ77" t="s">
        <v>633</v>
      </c>
      <c r="RWK77" t="s">
        <v>229</v>
      </c>
      <c r="RWL77" t="s">
        <v>633</v>
      </c>
      <c r="RWM77" t="s">
        <v>229</v>
      </c>
      <c r="RWN77" t="s">
        <v>633</v>
      </c>
      <c r="RWO77" t="s">
        <v>229</v>
      </c>
      <c r="RWP77" t="s">
        <v>633</v>
      </c>
      <c r="RWQ77" t="s">
        <v>229</v>
      </c>
      <c r="RWR77" t="s">
        <v>633</v>
      </c>
      <c r="RWS77" t="s">
        <v>229</v>
      </c>
      <c r="RWT77" t="s">
        <v>633</v>
      </c>
      <c r="RWU77" t="s">
        <v>229</v>
      </c>
      <c r="RWV77" t="s">
        <v>633</v>
      </c>
      <c r="RWW77" t="s">
        <v>229</v>
      </c>
      <c r="RWX77" t="s">
        <v>633</v>
      </c>
      <c r="RWY77" t="s">
        <v>229</v>
      </c>
      <c r="RWZ77" t="s">
        <v>633</v>
      </c>
      <c r="RXA77" t="s">
        <v>229</v>
      </c>
      <c r="RXB77" t="s">
        <v>633</v>
      </c>
      <c r="RXC77" t="s">
        <v>229</v>
      </c>
      <c r="RXD77" t="s">
        <v>633</v>
      </c>
      <c r="RXE77" t="s">
        <v>229</v>
      </c>
      <c r="RXF77" t="s">
        <v>633</v>
      </c>
      <c r="RXG77" t="s">
        <v>229</v>
      </c>
      <c r="RXH77" t="s">
        <v>633</v>
      </c>
      <c r="RXI77" t="s">
        <v>229</v>
      </c>
      <c r="RXJ77" t="s">
        <v>633</v>
      </c>
      <c r="RXK77" t="s">
        <v>229</v>
      </c>
      <c r="RXL77" t="s">
        <v>633</v>
      </c>
      <c r="RXM77" t="s">
        <v>229</v>
      </c>
      <c r="RXN77" t="s">
        <v>633</v>
      </c>
      <c r="RXO77" t="s">
        <v>229</v>
      </c>
      <c r="RXP77" t="s">
        <v>633</v>
      </c>
      <c r="RXQ77" t="s">
        <v>229</v>
      </c>
      <c r="RXR77" t="s">
        <v>633</v>
      </c>
      <c r="RXS77" t="s">
        <v>229</v>
      </c>
      <c r="RXT77" t="s">
        <v>633</v>
      </c>
      <c r="RXU77" t="s">
        <v>229</v>
      </c>
      <c r="RXV77" t="s">
        <v>633</v>
      </c>
      <c r="RXW77" t="s">
        <v>229</v>
      </c>
      <c r="RXX77" t="s">
        <v>633</v>
      </c>
      <c r="RXY77" t="s">
        <v>229</v>
      </c>
      <c r="RXZ77" t="s">
        <v>633</v>
      </c>
      <c r="RYA77" t="s">
        <v>229</v>
      </c>
      <c r="RYB77" t="s">
        <v>633</v>
      </c>
      <c r="RYC77" t="s">
        <v>229</v>
      </c>
      <c r="RYD77" t="s">
        <v>633</v>
      </c>
      <c r="RYE77" t="s">
        <v>229</v>
      </c>
      <c r="RYF77" t="s">
        <v>633</v>
      </c>
      <c r="RYG77" t="s">
        <v>229</v>
      </c>
      <c r="RYH77" t="s">
        <v>633</v>
      </c>
      <c r="RYI77" t="s">
        <v>229</v>
      </c>
      <c r="RYJ77" t="s">
        <v>633</v>
      </c>
      <c r="RYK77" t="s">
        <v>229</v>
      </c>
      <c r="RYL77" t="s">
        <v>633</v>
      </c>
      <c r="RYM77" t="s">
        <v>229</v>
      </c>
      <c r="RYN77" t="s">
        <v>633</v>
      </c>
      <c r="RYO77" t="s">
        <v>229</v>
      </c>
      <c r="RYP77" t="s">
        <v>633</v>
      </c>
      <c r="RYQ77" t="s">
        <v>229</v>
      </c>
      <c r="RYR77" t="s">
        <v>633</v>
      </c>
      <c r="RYS77" t="s">
        <v>229</v>
      </c>
      <c r="RYT77" t="s">
        <v>633</v>
      </c>
      <c r="RYU77" t="s">
        <v>229</v>
      </c>
      <c r="RYV77" t="s">
        <v>633</v>
      </c>
      <c r="RYW77" t="s">
        <v>229</v>
      </c>
      <c r="RYX77" t="s">
        <v>633</v>
      </c>
      <c r="RYY77" t="s">
        <v>229</v>
      </c>
      <c r="RYZ77" t="s">
        <v>633</v>
      </c>
      <c r="RZA77" t="s">
        <v>229</v>
      </c>
      <c r="RZB77" t="s">
        <v>633</v>
      </c>
      <c r="RZC77" t="s">
        <v>229</v>
      </c>
      <c r="RZD77" t="s">
        <v>633</v>
      </c>
      <c r="RZE77" t="s">
        <v>229</v>
      </c>
      <c r="RZF77" t="s">
        <v>633</v>
      </c>
      <c r="RZG77" t="s">
        <v>229</v>
      </c>
      <c r="RZH77" t="s">
        <v>633</v>
      </c>
      <c r="RZI77" t="s">
        <v>229</v>
      </c>
      <c r="RZJ77" t="s">
        <v>633</v>
      </c>
      <c r="RZK77" t="s">
        <v>229</v>
      </c>
      <c r="RZL77" t="s">
        <v>633</v>
      </c>
      <c r="RZM77" t="s">
        <v>229</v>
      </c>
      <c r="RZN77" t="s">
        <v>633</v>
      </c>
      <c r="RZO77" t="s">
        <v>229</v>
      </c>
      <c r="RZP77" t="s">
        <v>633</v>
      </c>
      <c r="RZQ77" t="s">
        <v>229</v>
      </c>
      <c r="RZR77" t="s">
        <v>633</v>
      </c>
      <c r="RZS77" t="s">
        <v>229</v>
      </c>
      <c r="RZT77" t="s">
        <v>633</v>
      </c>
      <c r="RZU77" t="s">
        <v>229</v>
      </c>
      <c r="RZV77" t="s">
        <v>633</v>
      </c>
      <c r="RZW77" t="s">
        <v>229</v>
      </c>
      <c r="RZX77" t="s">
        <v>633</v>
      </c>
      <c r="RZY77" t="s">
        <v>229</v>
      </c>
      <c r="RZZ77" t="s">
        <v>633</v>
      </c>
      <c r="SAA77" t="s">
        <v>229</v>
      </c>
      <c r="SAB77" t="s">
        <v>633</v>
      </c>
      <c r="SAC77" t="s">
        <v>229</v>
      </c>
      <c r="SAD77" t="s">
        <v>633</v>
      </c>
      <c r="SAE77" t="s">
        <v>229</v>
      </c>
      <c r="SAF77" t="s">
        <v>633</v>
      </c>
      <c r="SAG77" t="s">
        <v>229</v>
      </c>
      <c r="SAH77" t="s">
        <v>633</v>
      </c>
      <c r="SAI77" t="s">
        <v>229</v>
      </c>
      <c r="SAJ77" t="s">
        <v>633</v>
      </c>
      <c r="SAK77" t="s">
        <v>229</v>
      </c>
      <c r="SAL77" t="s">
        <v>633</v>
      </c>
      <c r="SAM77" t="s">
        <v>229</v>
      </c>
      <c r="SAN77" t="s">
        <v>633</v>
      </c>
      <c r="SAO77" t="s">
        <v>229</v>
      </c>
      <c r="SAP77" t="s">
        <v>633</v>
      </c>
      <c r="SAQ77" t="s">
        <v>229</v>
      </c>
      <c r="SAR77" t="s">
        <v>633</v>
      </c>
      <c r="SAS77" t="s">
        <v>229</v>
      </c>
      <c r="SAT77" t="s">
        <v>633</v>
      </c>
      <c r="SAU77" t="s">
        <v>229</v>
      </c>
      <c r="SAV77" t="s">
        <v>633</v>
      </c>
      <c r="SAW77" t="s">
        <v>229</v>
      </c>
      <c r="SAX77" t="s">
        <v>633</v>
      </c>
      <c r="SAY77" t="s">
        <v>229</v>
      </c>
      <c r="SAZ77" t="s">
        <v>633</v>
      </c>
      <c r="SBA77" t="s">
        <v>229</v>
      </c>
      <c r="SBB77" t="s">
        <v>633</v>
      </c>
      <c r="SBC77" t="s">
        <v>229</v>
      </c>
      <c r="SBD77" t="s">
        <v>633</v>
      </c>
      <c r="SBE77" t="s">
        <v>229</v>
      </c>
      <c r="SBF77" t="s">
        <v>633</v>
      </c>
      <c r="SBG77" t="s">
        <v>229</v>
      </c>
      <c r="SBH77" t="s">
        <v>633</v>
      </c>
      <c r="SBI77" t="s">
        <v>229</v>
      </c>
      <c r="SBJ77" t="s">
        <v>633</v>
      </c>
      <c r="SBK77" t="s">
        <v>229</v>
      </c>
      <c r="SBL77" t="s">
        <v>633</v>
      </c>
      <c r="SBM77" t="s">
        <v>229</v>
      </c>
      <c r="SBN77" t="s">
        <v>633</v>
      </c>
      <c r="SBO77" t="s">
        <v>229</v>
      </c>
      <c r="SBP77" t="s">
        <v>633</v>
      </c>
      <c r="SBQ77" t="s">
        <v>229</v>
      </c>
      <c r="SBR77" t="s">
        <v>633</v>
      </c>
      <c r="SBS77" t="s">
        <v>229</v>
      </c>
      <c r="SBT77" t="s">
        <v>633</v>
      </c>
      <c r="SBU77" t="s">
        <v>229</v>
      </c>
      <c r="SBV77" t="s">
        <v>633</v>
      </c>
      <c r="SBW77" t="s">
        <v>229</v>
      </c>
      <c r="SBX77" t="s">
        <v>633</v>
      </c>
      <c r="SBY77" t="s">
        <v>229</v>
      </c>
      <c r="SBZ77" t="s">
        <v>633</v>
      </c>
      <c r="SCA77" t="s">
        <v>229</v>
      </c>
      <c r="SCB77" t="s">
        <v>633</v>
      </c>
      <c r="SCC77" t="s">
        <v>229</v>
      </c>
      <c r="SCD77" t="s">
        <v>633</v>
      </c>
      <c r="SCE77" t="s">
        <v>229</v>
      </c>
      <c r="SCF77" t="s">
        <v>633</v>
      </c>
      <c r="SCG77" t="s">
        <v>229</v>
      </c>
      <c r="SCH77" t="s">
        <v>633</v>
      </c>
      <c r="SCI77" t="s">
        <v>229</v>
      </c>
      <c r="SCJ77" t="s">
        <v>633</v>
      </c>
      <c r="SCK77" t="s">
        <v>229</v>
      </c>
      <c r="SCL77" t="s">
        <v>633</v>
      </c>
      <c r="SCM77" t="s">
        <v>229</v>
      </c>
      <c r="SCN77" t="s">
        <v>633</v>
      </c>
      <c r="SCO77" t="s">
        <v>229</v>
      </c>
      <c r="SCP77" t="s">
        <v>633</v>
      </c>
      <c r="SCQ77" t="s">
        <v>229</v>
      </c>
      <c r="SCR77" t="s">
        <v>633</v>
      </c>
      <c r="SCS77" t="s">
        <v>229</v>
      </c>
      <c r="SCT77" t="s">
        <v>633</v>
      </c>
      <c r="SCU77" t="s">
        <v>229</v>
      </c>
      <c r="SCV77" t="s">
        <v>633</v>
      </c>
      <c r="SCW77" t="s">
        <v>229</v>
      </c>
      <c r="SCX77" t="s">
        <v>633</v>
      </c>
      <c r="SCY77" t="s">
        <v>229</v>
      </c>
      <c r="SCZ77" t="s">
        <v>633</v>
      </c>
      <c r="SDA77" t="s">
        <v>229</v>
      </c>
      <c r="SDB77" t="s">
        <v>633</v>
      </c>
      <c r="SDC77" t="s">
        <v>229</v>
      </c>
      <c r="SDD77" t="s">
        <v>633</v>
      </c>
      <c r="SDE77" t="s">
        <v>229</v>
      </c>
      <c r="SDF77" t="s">
        <v>633</v>
      </c>
      <c r="SDG77" t="s">
        <v>229</v>
      </c>
      <c r="SDH77" t="s">
        <v>633</v>
      </c>
      <c r="SDI77" t="s">
        <v>229</v>
      </c>
      <c r="SDJ77" t="s">
        <v>633</v>
      </c>
      <c r="SDK77" t="s">
        <v>229</v>
      </c>
      <c r="SDL77" t="s">
        <v>633</v>
      </c>
      <c r="SDM77" t="s">
        <v>229</v>
      </c>
      <c r="SDN77" t="s">
        <v>633</v>
      </c>
      <c r="SDO77" t="s">
        <v>229</v>
      </c>
      <c r="SDP77" t="s">
        <v>633</v>
      </c>
      <c r="SDQ77" t="s">
        <v>229</v>
      </c>
      <c r="SDR77" t="s">
        <v>633</v>
      </c>
      <c r="SDS77" t="s">
        <v>229</v>
      </c>
      <c r="SDT77" t="s">
        <v>633</v>
      </c>
      <c r="SDU77" t="s">
        <v>229</v>
      </c>
      <c r="SDV77" t="s">
        <v>633</v>
      </c>
      <c r="SDW77" t="s">
        <v>229</v>
      </c>
      <c r="SDX77" t="s">
        <v>633</v>
      </c>
      <c r="SDY77" t="s">
        <v>229</v>
      </c>
      <c r="SDZ77" t="s">
        <v>633</v>
      </c>
      <c r="SEA77" t="s">
        <v>229</v>
      </c>
      <c r="SEB77" t="s">
        <v>633</v>
      </c>
      <c r="SEC77" t="s">
        <v>229</v>
      </c>
      <c r="SED77" t="s">
        <v>633</v>
      </c>
      <c r="SEE77" t="s">
        <v>229</v>
      </c>
      <c r="SEF77" t="s">
        <v>633</v>
      </c>
      <c r="SEG77" t="s">
        <v>229</v>
      </c>
      <c r="SEH77" t="s">
        <v>633</v>
      </c>
      <c r="SEI77" t="s">
        <v>229</v>
      </c>
      <c r="SEJ77" t="s">
        <v>633</v>
      </c>
      <c r="SEK77" t="s">
        <v>229</v>
      </c>
      <c r="SEL77" t="s">
        <v>633</v>
      </c>
      <c r="SEM77" t="s">
        <v>229</v>
      </c>
      <c r="SEN77" t="s">
        <v>633</v>
      </c>
      <c r="SEO77" t="s">
        <v>229</v>
      </c>
      <c r="SEP77" t="s">
        <v>633</v>
      </c>
      <c r="SEQ77" t="s">
        <v>229</v>
      </c>
      <c r="SER77" t="s">
        <v>633</v>
      </c>
      <c r="SES77" t="s">
        <v>229</v>
      </c>
      <c r="SET77" t="s">
        <v>633</v>
      </c>
      <c r="SEU77" t="s">
        <v>229</v>
      </c>
      <c r="SEV77" t="s">
        <v>633</v>
      </c>
      <c r="SEW77" t="s">
        <v>229</v>
      </c>
      <c r="SEX77" t="s">
        <v>633</v>
      </c>
      <c r="SEY77" t="s">
        <v>229</v>
      </c>
      <c r="SEZ77" t="s">
        <v>633</v>
      </c>
      <c r="SFA77" t="s">
        <v>229</v>
      </c>
      <c r="SFB77" t="s">
        <v>633</v>
      </c>
      <c r="SFC77" t="s">
        <v>229</v>
      </c>
      <c r="SFD77" t="s">
        <v>633</v>
      </c>
      <c r="SFE77" t="s">
        <v>229</v>
      </c>
      <c r="SFF77" t="s">
        <v>633</v>
      </c>
      <c r="SFG77" t="s">
        <v>229</v>
      </c>
      <c r="SFH77" t="s">
        <v>633</v>
      </c>
      <c r="SFI77" t="s">
        <v>229</v>
      </c>
      <c r="SFJ77" t="s">
        <v>633</v>
      </c>
      <c r="SFK77" t="s">
        <v>229</v>
      </c>
      <c r="SFL77" t="s">
        <v>633</v>
      </c>
      <c r="SFM77" t="s">
        <v>229</v>
      </c>
      <c r="SFN77" t="s">
        <v>633</v>
      </c>
      <c r="SFO77" t="s">
        <v>229</v>
      </c>
      <c r="SFP77" t="s">
        <v>633</v>
      </c>
      <c r="SFQ77" t="s">
        <v>229</v>
      </c>
      <c r="SFR77" t="s">
        <v>633</v>
      </c>
      <c r="SFS77" t="s">
        <v>229</v>
      </c>
      <c r="SFT77" t="s">
        <v>633</v>
      </c>
      <c r="SFU77" t="s">
        <v>229</v>
      </c>
      <c r="SFV77" t="s">
        <v>633</v>
      </c>
      <c r="SFW77" t="s">
        <v>229</v>
      </c>
      <c r="SFX77" t="s">
        <v>633</v>
      </c>
      <c r="SFY77" t="s">
        <v>229</v>
      </c>
      <c r="SFZ77" t="s">
        <v>633</v>
      </c>
      <c r="SGA77" t="s">
        <v>229</v>
      </c>
      <c r="SGB77" t="s">
        <v>633</v>
      </c>
      <c r="SGC77" t="s">
        <v>229</v>
      </c>
      <c r="SGD77" t="s">
        <v>633</v>
      </c>
      <c r="SGE77" t="s">
        <v>229</v>
      </c>
      <c r="SGF77" t="s">
        <v>633</v>
      </c>
      <c r="SGG77" t="s">
        <v>229</v>
      </c>
      <c r="SGH77" t="s">
        <v>633</v>
      </c>
      <c r="SGI77" t="s">
        <v>229</v>
      </c>
      <c r="SGJ77" t="s">
        <v>633</v>
      </c>
      <c r="SGK77" t="s">
        <v>229</v>
      </c>
      <c r="SGL77" t="s">
        <v>633</v>
      </c>
      <c r="SGM77" t="s">
        <v>229</v>
      </c>
      <c r="SGN77" t="s">
        <v>633</v>
      </c>
      <c r="SGO77" t="s">
        <v>229</v>
      </c>
      <c r="SGP77" t="s">
        <v>633</v>
      </c>
      <c r="SGQ77" t="s">
        <v>229</v>
      </c>
      <c r="SGR77" t="s">
        <v>633</v>
      </c>
      <c r="SGS77" t="s">
        <v>229</v>
      </c>
      <c r="SGT77" t="s">
        <v>633</v>
      </c>
      <c r="SGU77" t="s">
        <v>229</v>
      </c>
      <c r="SGV77" t="s">
        <v>633</v>
      </c>
      <c r="SGW77" t="s">
        <v>229</v>
      </c>
      <c r="SGX77" t="s">
        <v>633</v>
      </c>
      <c r="SGY77" t="s">
        <v>229</v>
      </c>
      <c r="SGZ77" t="s">
        <v>633</v>
      </c>
      <c r="SHA77" t="s">
        <v>229</v>
      </c>
      <c r="SHB77" t="s">
        <v>633</v>
      </c>
      <c r="SHC77" t="s">
        <v>229</v>
      </c>
      <c r="SHD77" t="s">
        <v>633</v>
      </c>
      <c r="SHE77" t="s">
        <v>229</v>
      </c>
      <c r="SHF77" t="s">
        <v>633</v>
      </c>
      <c r="SHG77" t="s">
        <v>229</v>
      </c>
      <c r="SHH77" t="s">
        <v>633</v>
      </c>
      <c r="SHI77" t="s">
        <v>229</v>
      </c>
      <c r="SHJ77" t="s">
        <v>633</v>
      </c>
      <c r="SHK77" t="s">
        <v>229</v>
      </c>
      <c r="SHL77" t="s">
        <v>633</v>
      </c>
      <c r="SHM77" t="s">
        <v>229</v>
      </c>
      <c r="SHN77" t="s">
        <v>633</v>
      </c>
      <c r="SHO77" t="s">
        <v>229</v>
      </c>
      <c r="SHP77" t="s">
        <v>633</v>
      </c>
      <c r="SHQ77" t="s">
        <v>229</v>
      </c>
      <c r="SHR77" t="s">
        <v>633</v>
      </c>
      <c r="SHS77" t="s">
        <v>229</v>
      </c>
      <c r="SHT77" t="s">
        <v>633</v>
      </c>
      <c r="SHU77" t="s">
        <v>229</v>
      </c>
      <c r="SHV77" t="s">
        <v>633</v>
      </c>
      <c r="SHW77" t="s">
        <v>229</v>
      </c>
      <c r="SHX77" t="s">
        <v>633</v>
      </c>
      <c r="SHY77" t="s">
        <v>229</v>
      </c>
      <c r="SHZ77" t="s">
        <v>633</v>
      </c>
      <c r="SIA77" t="s">
        <v>229</v>
      </c>
      <c r="SIB77" t="s">
        <v>633</v>
      </c>
      <c r="SIC77" t="s">
        <v>229</v>
      </c>
      <c r="SID77" t="s">
        <v>633</v>
      </c>
      <c r="SIE77" t="s">
        <v>229</v>
      </c>
      <c r="SIF77" t="s">
        <v>633</v>
      </c>
      <c r="SIG77" t="s">
        <v>229</v>
      </c>
      <c r="SIH77" t="s">
        <v>633</v>
      </c>
      <c r="SII77" t="s">
        <v>229</v>
      </c>
      <c r="SIJ77" t="s">
        <v>633</v>
      </c>
      <c r="SIK77" t="s">
        <v>229</v>
      </c>
      <c r="SIL77" t="s">
        <v>633</v>
      </c>
      <c r="SIM77" t="s">
        <v>229</v>
      </c>
      <c r="SIN77" t="s">
        <v>633</v>
      </c>
      <c r="SIO77" t="s">
        <v>229</v>
      </c>
      <c r="SIP77" t="s">
        <v>633</v>
      </c>
      <c r="SIQ77" t="s">
        <v>229</v>
      </c>
      <c r="SIR77" t="s">
        <v>633</v>
      </c>
      <c r="SIS77" t="s">
        <v>229</v>
      </c>
      <c r="SIT77" t="s">
        <v>633</v>
      </c>
      <c r="SIU77" t="s">
        <v>229</v>
      </c>
      <c r="SIV77" t="s">
        <v>633</v>
      </c>
      <c r="SIW77" t="s">
        <v>229</v>
      </c>
      <c r="SIX77" t="s">
        <v>633</v>
      </c>
      <c r="SIY77" t="s">
        <v>229</v>
      </c>
      <c r="SIZ77" t="s">
        <v>633</v>
      </c>
      <c r="SJA77" t="s">
        <v>229</v>
      </c>
      <c r="SJB77" t="s">
        <v>633</v>
      </c>
      <c r="SJC77" t="s">
        <v>229</v>
      </c>
      <c r="SJD77" t="s">
        <v>633</v>
      </c>
      <c r="SJE77" t="s">
        <v>229</v>
      </c>
      <c r="SJF77" t="s">
        <v>633</v>
      </c>
      <c r="SJG77" t="s">
        <v>229</v>
      </c>
      <c r="SJH77" t="s">
        <v>633</v>
      </c>
      <c r="SJI77" t="s">
        <v>229</v>
      </c>
      <c r="SJJ77" t="s">
        <v>633</v>
      </c>
      <c r="SJK77" t="s">
        <v>229</v>
      </c>
      <c r="SJL77" t="s">
        <v>633</v>
      </c>
      <c r="SJM77" t="s">
        <v>229</v>
      </c>
      <c r="SJN77" t="s">
        <v>633</v>
      </c>
      <c r="SJO77" t="s">
        <v>229</v>
      </c>
      <c r="SJP77" t="s">
        <v>633</v>
      </c>
      <c r="SJQ77" t="s">
        <v>229</v>
      </c>
      <c r="SJR77" t="s">
        <v>633</v>
      </c>
      <c r="SJS77" t="s">
        <v>229</v>
      </c>
      <c r="SJT77" t="s">
        <v>633</v>
      </c>
      <c r="SJU77" t="s">
        <v>229</v>
      </c>
      <c r="SJV77" t="s">
        <v>633</v>
      </c>
      <c r="SJW77" t="s">
        <v>229</v>
      </c>
      <c r="SJX77" t="s">
        <v>633</v>
      </c>
      <c r="SJY77" t="s">
        <v>229</v>
      </c>
      <c r="SJZ77" t="s">
        <v>633</v>
      </c>
      <c r="SKA77" t="s">
        <v>229</v>
      </c>
      <c r="SKB77" t="s">
        <v>633</v>
      </c>
      <c r="SKC77" t="s">
        <v>229</v>
      </c>
      <c r="SKD77" t="s">
        <v>633</v>
      </c>
      <c r="SKE77" t="s">
        <v>229</v>
      </c>
      <c r="SKF77" t="s">
        <v>633</v>
      </c>
      <c r="SKG77" t="s">
        <v>229</v>
      </c>
      <c r="SKH77" t="s">
        <v>633</v>
      </c>
      <c r="SKI77" t="s">
        <v>229</v>
      </c>
      <c r="SKJ77" t="s">
        <v>633</v>
      </c>
      <c r="SKK77" t="s">
        <v>229</v>
      </c>
      <c r="SKL77" t="s">
        <v>633</v>
      </c>
      <c r="SKM77" t="s">
        <v>229</v>
      </c>
      <c r="SKN77" t="s">
        <v>633</v>
      </c>
      <c r="SKO77" t="s">
        <v>229</v>
      </c>
      <c r="SKP77" t="s">
        <v>633</v>
      </c>
      <c r="SKQ77" t="s">
        <v>229</v>
      </c>
      <c r="SKR77" t="s">
        <v>633</v>
      </c>
      <c r="SKS77" t="s">
        <v>229</v>
      </c>
      <c r="SKT77" t="s">
        <v>633</v>
      </c>
      <c r="SKU77" t="s">
        <v>229</v>
      </c>
      <c r="SKV77" t="s">
        <v>633</v>
      </c>
      <c r="SKW77" t="s">
        <v>229</v>
      </c>
      <c r="SKX77" t="s">
        <v>633</v>
      </c>
      <c r="SKY77" t="s">
        <v>229</v>
      </c>
      <c r="SKZ77" t="s">
        <v>633</v>
      </c>
      <c r="SLA77" t="s">
        <v>229</v>
      </c>
      <c r="SLB77" t="s">
        <v>633</v>
      </c>
      <c r="SLC77" t="s">
        <v>229</v>
      </c>
      <c r="SLD77" t="s">
        <v>633</v>
      </c>
      <c r="SLE77" t="s">
        <v>229</v>
      </c>
      <c r="SLF77" t="s">
        <v>633</v>
      </c>
      <c r="SLG77" t="s">
        <v>229</v>
      </c>
      <c r="SLH77" t="s">
        <v>633</v>
      </c>
      <c r="SLI77" t="s">
        <v>229</v>
      </c>
      <c r="SLJ77" t="s">
        <v>633</v>
      </c>
      <c r="SLK77" t="s">
        <v>229</v>
      </c>
      <c r="SLL77" t="s">
        <v>633</v>
      </c>
      <c r="SLM77" t="s">
        <v>229</v>
      </c>
      <c r="SLN77" t="s">
        <v>633</v>
      </c>
      <c r="SLO77" t="s">
        <v>229</v>
      </c>
      <c r="SLP77" t="s">
        <v>633</v>
      </c>
      <c r="SLQ77" t="s">
        <v>229</v>
      </c>
      <c r="SLR77" t="s">
        <v>633</v>
      </c>
      <c r="SLS77" t="s">
        <v>229</v>
      </c>
      <c r="SLT77" t="s">
        <v>633</v>
      </c>
      <c r="SLU77" t="s">
        <v>229</v>
      </c>
      <c r="SLV77" t="s">
        <v>633</v>
      </c>
      <c r="SLW77" t="s">
        <v>229</v>
      </c>
      <c r="SLX77" t="s">
        <v>633</v>
      </c>
      <c r="SLY77" t="s">
        <v>229</v>
      </c>
      <c r="SLZ77" t="s">
        <v>633</v>
      </c>
      <c r="SMA77" t="s">
        <v>229</v>
      </c>
      <c r="SMB77" t="s">
        <v>633</v>
      </c>
      <c r="SMC77" t="s">
        <v>229</v>
      </c>
      <c r="SMD77" t="s">
        <v>633</v>
      </c>
      <c r="SME77" t="s">
        <v>229</v>
      </c>
      <c r="SMF77" t="s">
        <v>633</v>
      </c>
      <c r="SMG77" t="s">
        <v>229</v>
      </c>
      <c r="SMH77" t="s">
        <v>633</v>
      </c>
      <c r="SMI77" t="s">
        <v>229</v>
      </c>
      <c r="SMJ77" t="s">
        <v>633</v>
      </c>
      <c r="SMK77" t="s">
        <v>229</v>
      </c>
      <c r="SML77" t="s">
        <v>633</v>
      </c>
      <c r="SMM77" t="s">
        <v>229</v>
      </c>
      <c r="SMN77" t="s">
        <v>633</v>
      </c>
      <c r="SMO77" t="s">
        <v>229</v>
      </c>
      <c r="SMP77" t="s">
        <v>633</v>
      </c>
      <c r="SMQ77" t="s">
        <v>229</v>
      </c>
      <c r="SMR77" t="s">
        <v>633</v>
      </c>
      <c r="SMS77" t="s">
        <v>229</v>
      </c>
      <c r="SMT77" t="s">
        <v>633</v>
      </c>
      <c r="SMU77" t="s">
        <v>229</v>
      </c>
      <c r="SMV77" t="s">
        <v>633</v>
      </c>
      <c r="SMW77" t="s">
        <v>229</v>
      </c>
      <c r="SMX77" t="s">
        <v>633</v>
      </c>
      <c r="SMY77" t="s">
        <v>229</v>
      </c>
      <c r="SMZ77" t="s">
        <v>633</v>
      </c>
      <c r="SNA77" t="s">
        <v>229</v>
      </c>
      <c r="SNB77" t="s">
        <v>633</v>
      </c>
      <c r="SNC77" t="s">
        <v>229</v>
      </c>
      <c r="SND77" t="s">
        <v>633</v>
      </c>
      <c r="SNE77" t="s">
        <v>229</v>
      </c>
      <c r="SNF77" t="s">
        <v>633</v>
      </c>
      <c r="SNG77" t="s">
        <v>229</v>
      </c>
      <c r="SNH77" t="s">
        <v>633</v>
      </c>
      <c r="SNI77" t="s">
        <v>229</v>
      </c>
      <c r="SNJ77" t="s">
        <v>633</v>
      </c>
      <c r="SNK77" t="s">
        <v>229</v>
      </c>
      <c r="SNL77" t="s">
        <v>633</v>
      </c>
      <c r="SNM77" t="s">
        <v>229</v>
      </c>
      <c r="SNN77" t="s">
        <v>633</v>
      </c>
      <c r="SNO77" t="s">
        <v>229</v>
      </c>
      <c r="SNP77" t="s">
        <v>633</v>
      </c>
      <c r="SNQ77" t="s">
        <v>229</v>
      </c>
      <c r="SNR77" t="s">
        <v>633</v>
      </c>
      <c r="SNS77" t="s">
        <v>229</v>
      </c>
      <c r="SNT77" t="s">
        <v>633</v>
      </c>
      <c r="SNU77" t="s">
        <v>229</v>
      </c>
      <c r="SNV77" t="s">
        <v>633</v>
      </c>
      <c r="SNW77" t="s">
        <v>229</v>
      </c>
      <c r="SNX77" t="s">
        <v>633</v>
      </c>
      <c r="SNY77" t="s">
        <v>229</v>
      </c>
      <c r="SNZ77" t="s">
        <v>633</v>
      </c>
      <c r="SOA77" t="s">
        <v>229</v>
      </c>
      <c r="SOB77" t="s">
        <v>633</v>
      </c>
      <c r="SOC77" t="s">
        <v>229</v>
      </c>
      <c r="SOD77" t="s">
        <v>633</v>
      </c>
      <c r="SOE77" t="s">
        <v>229</v>
      </c>
      <c r="SOF77" t="s">
        <v>633</v>
      </c>
      <c r="SOG77" t="s">
        <v>229</v>
      </c>
      <c r="SOH77" t="s">
        <v>633</v>
      </c>
      <c r="SOI77" t="s">
        <v>229</v>
      </c>
      <c r="SOJ77" t="s">
        <v>633</v>
      </c>
      <c r="SOK77" t="s">
        <v>229</v>
      </c>
      <c r="SOL77" t="s">
        <v>633</v>
      </c>
      <c r="SOM77" t="s">
        <v>229</v>
      </c>
      <c r="SON77" t="s">
        <v>633</v>
      </c>
      <c r="SOO77" t="s">
        <v>229</v>
      </c>
      <c r="SOP77" t="s">
        <v>633</v>
      </c>
      <c r="SOQ77" t="s">
        <v>229</v>
      </c>
      <c r="SOR77" t="s">
        <v>633</v>
      </c>
      <c r="SOS77" t="s">
        <v>229</v>
      </c>
      <c r="SOT77" t="s">
        <v>633</v>
      </c>
      <c r="SOU77" t="s">
        <v>229</v>
      </c>
      <c r="SOV77" t="s">
        <v>633</v>
      </c>
      <c r="SOW77" t="s">
        <v>229</v>
      </c>
      <c r="SOX77" t="s">
        <v>633</v>
      </c>
      <c r="SOY77" t="s">
        <v>229</v>
      </c>
      <c r="SOZ77" t="s">
        <v>633</v>
      </c>
      <c r="SPA77" t="s">
        <v>229</v>
      </c>
      <c r="SPB77" t="s">
        <v>633</v>
      </c>
      <c r="SPC77" t="s">
        <v>229</v>
      </c>
      <c r="SPD77" t="s">
        <v>633</v>
      </c>
      <c r="SPE77" t="s">
        <v>229</v>
      </c>
      <c r="SPF77" t="s">
        <v>633</v>
      </c>
      <c r="SPG77" t="s">
        <v>229</v>
      </c>
      <c r="SPH77" t="s">
        <v>633</v>
      </c>
      <c r="SPI77" t="s">
        <v>229</v>
      </c>
      <c r="SPJ77" t="s">
        <v>633</v>
      </c>
      <c r="SPK77" t="s">
        <v>229</v>
      </c>
      <c r="SPL77" t="s">
        <v>633</v>
      </c>
      <c r="SPM77" t="s">
        <v>229</v>
      </c>
      <c r="SPN77" t="s">
        <v>633</v>
      </c>
      <c r="SPO77" t="s">
        <v>229</v>
      </c>
      <c r="SPP77" t="s">
        <v>633</v>
      </c>
      <c r="SPQ77" t="s">
        <v>229</v>
      </c>
      <c r="SPR77" t="s">
        <v>633</v>
      </c>
      <c r="SPS77" t="s">
        <v>229</v>
      </c>
      <c r="SPT77" t="s">
        <v>633</v>
      </c>
      <c r="SPU77" t="s">
        <v>229</v>
      </c>
      <c r="SPV77" t="s">
        <v>633</v>
      </c>
      <c r="SPW77" t="s">
        <v>229</v>
      </c>
      <c r="SPX77" t="s">
        <v>633</v>
      </c>
      <c r="SPY77" t="s">
        <v>229</v>
      </c>
      <c r="SPZ77" t="s">
        <v>633</v>
      </c>
      <c r="SQA77" t="s">
        <v>229</v>
      </c>
      <c r="SQB77" t="s">
        <v>633</v>
      </c>
      <c r="SQC77" t="s">
        <v>229</v>
      </c>
      <c r="SQD77" t="s">
        <v>633</v>
      </c>
      <c r="SQE77" t="s">
        <v>229</v>
      </c>
      <c r="SQF77" t="s">
        <v>633</v>
      </c>
      <c r="SQG77" t="s">
        <v>229</v>
      </c>
      <c r="SQH77" t="s">
        <v>633</v>
      </c>
      <c r="SQI77" t="s">
        <v>229</v>
      </c>
      <c r="SQJ77" t="s">
        <v>633</v>
      </c>
      <c r="SQK77" t="s">
        <v>229</v>
      </c>
      <c r="SQL77" t="s">
        <v>633</v>
      </c>
      <c r="SQM77" t="s">
        <v>229</v>
      </c>
      <c r="SQN77" t="s">
        <v>633</v>
      </c>
      <c r="SQO77" t="s">
        <v>229</v>
      </c>
      <c r="SQP77" t="s">
        <v>633</v>
      </c>
      <c r="SQQ77" t="s">
        <v>229</v>
      </c>
      <c r="SQR77" t="s">
        <v>633</v>
      </c>
      <c r="SQS77" t="s">
        <v>229</v>
      </c>
      <c r="SQT77" t="s">
        <v>633</v>
      </c>
      <c r="SQU77" t="s">
        <v>229</v>
      </c>
      <c r="SQV77" t="s">
        <v>633</v>
      </c>
      <c r="SQW77" t="s">
        <v>229</v>
      </c>
      <c r="SQX77" t="s">
        <v>633</v>
      </c>
      <c r="SQY77" t="s">
        <v>229</v>
      </c>
      <c r="SQZ77" t="s">
        <v>633</v>
      </c>
      <c r="SRA77" t="s">
        <v>229</v>
      </c>
      <c r="SRB77" t="s">
        <v>633</v>
      </c>
      <c r="SRC77" t="s">
        <v>229</v>
      </c>
      <c r="SRD77" t="s">
        <v>633</v>
      </c>
      <c r="SRE77" t="s">
        <v>229</v>
      </c>
      <c r="SRF77" t="s">
        <v>633</v>
      </c>
      <c r="SRG77" t="s">
        <v>229</v>
      </c>
      <c r="SRH77" t="s">
        <v>633</v>
      </c>
      <c r="SRI77" t="s">
        <v>229</v>
      </c>
      <c r="SRJ77" t="s">
        <v>633</v>
      </c>
      <c r="SRK77" t="s">
        <v>229</v>
      </c>
      <c r="SRL77" t="s">
        <v>633</v>
      </c>
      <c r="SRM77" t="s">
        <v>229</v>
      </c>
      <c r="SRN77" t="s">
        <v>633</v>
      </c>
      <c r="SRO77" t="s">
        <v>229</v>
      </c>
      <c r="SRP77" t="s">
        <v>633</v>
      </c>
      <c r="SRQ77" t="s">
        <v>229</v>
      </c>
      <c r="SRR77" t="s">
        <v>633</v>
      </c>
      <c r="SRS77" t="s">
        <v>229</v>
      </c>
      <c r="SRT77" t="s">
        <v>633</v>
      </c>
      <c r="SRU77" t="s">
        <v>229</v>
      </c>
      <c r="SRV77" t="s">
        <v>633</v>
      </c>
      <c r="SRW77" t="s">
        <v>229</v>
      </c>
      <c r="SRX77" t="s">
        <v>633</v>
      </c>
      <c r="SRY77" t="s">
        <v>229</v>
      </c>
      <c r="SRZ77" t="s">
        <v>633</v>
      </c>
      <c r="SSA77" t="s">
        <v>229</v>
      </c>
      <c r="SSB77" t="s">
        <v>633</v>
      </c>
      <c r="SSC77" t="s">
        <v>229</v>
      </c>
      <c r="SSD77" t="s">
        <v>633</v>
      </c>
      <c r="SSE77" t="s">
        <v>229</v>
      </c>
      <c r="SSF77" t="s">
        <v>633</v>
      </c>
      <c r="SSG77" t="s">
        <v>229</v>
      </c>
      <c r="SSH77" t="s">
        <v>633</v>
      </c>
      <c r="SSI77" t="s">
        <v>229</v>
      </c>
      <c r="SSJ77" t="s">
        <v>633</v>
      </c>
      <c r="SSK77" t="s">
        <v>229</v>
      </c>
      <c r="SSL77" t="s">
        <v>633</v>
      </c>
      <c r="SSM77" t="s">
        <v>229</v>
      </c>
      <c r="SSN77" t="s">
        <v>633</v>
      </c>
      <c r="SSO77" t="s">
        <v>229</v>
      </c>
      <c r="SSP77" t="s">
        <v>633</v>
      </c>
      <c r="SSQ77" t="s">
        <v>229</v>
      </c>
      <c r="SSR77" t="s">
        <v>633</v>
      </c>
      <c r="SSS77" t="s">
        <v>229</v>
      </c>
      <c r="SST77" t="s">
        <v>633</v>
      </c>
      <c r="SSU77" t="s">
        <v>229</v>
      </c>
      <c r="SSV77" t="s">
        <v>633</v>
      </c>
      <c r="SSW77" t="s">
        <v>229</v>
      </c>
      <c r="SSX77" t="s">
        <v>633</v>
      </c>
      <c r="SSY77" t="s">
        <v>229</v>
      </c>
      <c r="SSZ77" t="s">
        <v>633</v>
      </c>
      <c r="STA77" t="s">
        <v>229</v>
      </c>
      <c r="STB77" t="s">
        <v>633</v>
      </c>
      <c r="STC77" t="s">
        <v>229</v>
      </c>
      <c r="STD77" t="s">
        <v>633</v>
      </c>
      <c r="STE77" t="s">
        <v>229</v>
      </c>
      <c r="STF77" t="s">
        <v>633</v>
      </c>
      <c r="STG77" t="s">
        <v>229</v>
      </c>
      <c r="STH77" t="s">
        <v>633</v>
      </c>
      <c r="STI77" t="s">
        <v>229</v>
      </c>
      <c r="STJ77" t="s">
        <v>633</v>
      </c>
      <c r="STK77" t="s">
        <v>229</v>
      </c>
      <c r="STL77" t="s">
        <v>633</v>
      </c>
      <c r="STM77" t="s">
        <v>229</v>
      </c>
      <c r="STN77" t="s">
        <v>633</v>
      </c>
      <c r="STO77" t="s">
        <v>229</v>
      </c>
      <c r="STP77" t="s">
        <v>633</v>
      </c>
      <c r="STQ77" t="s">
        <v>229</v>
      </c>
      <c r="STR77" t="s">
        <v>633</v>
      </c>
      <c r="STS77" t="s">
        <v>229</v>
      </c>
      <c r="STT77" t="s">
        <v>633</v>
      </c>
      <c r="STU77" t="s">
        <v>229</v>
      </c>
      <c r="STV77" t="s">
        <v>633</v>
      </c>
      <c r="STW77" t="s">
        <v>229</v>
      </c>
      <c r="STX77" t="s">
        <v>633</v>
      </c>
      <c r="STY77" t="s">
        <v>229</v>
      </c>
      <c r="STZ77" t="s">
        <v>633</v>
      </c>
      <c r="SUA77" t="s">
        <v>229</v>
      </c>
      <c r="SUB77" t="s">
        <v>633</v>
      </c>
      <c r="SUC77" t="s">
        <v>229</v>
      </c>
      <c r="SUD77" t="s">
        <v>633</v>
      </c>
      <c r="SUE77" t="s">
        <v>229</v>
      </c>
      <c r="SUF77" t="s">
        <v>633</v>
      </c>
      <c r="SUG77" t="s">
        <v>229</v>
      </c>
      <c r="SUH77" t="s">
        <v>633</v>
      </c>
      <c r="SUI77" t="s">
        <v>229</v>
      </c>
      <c r="SUJ77" t="s">
        <v>633</v>
      </c>
      <c r="SUK77" t="s">
        <v>229</v>
      </c>
      <c r="SUL77" t="s">
        <v>633</v>
      </c>
      <c r="SUM77" t="s">
        <v>229</v>
      </c>
      <c r="SUN77" t="s">
        <v>633</v>
      </c>
      <c r="SUO77" t="s">
        <v>229</v>
      </c>
      <c r="SUP77" t="s">
        <v>633</v>
      </c>
      <c r="SUQ77" t="s">
        <v>229</v>
      </c>
      <c r="SUR77" t="s">
        <v>633</v>
      </c>
      <c r="SUS77" t="s">
        <v>229</v>
      </c>
      <c r="SUT77" t="s">
        <v>633</v>
      </c>
      <c r="SUU77" t="s">
        <v>229</v>
      </c>
      <c r="SUV77" t="s">
        <v>633</v>
      </c>
      <c r="SUW77" t="s">
        <v>229</v>
      </c>
      <c r="SUX77" t="s">
        <v>633</v>
      </c>
      <c r="SUY77" t="s">
        <v>229</v>
      </c>
      <c r="SUZ77" t="s">
        <v>633</v>
      </c>
      <c r="SVA77" t="s">
        <v>229</v>
      </c>
      <c r="SVB77" t="s">
        <v>633</v>
      </c>
      <c r="SVC77" t="s">
        <v>229</v>
      </c>
      <c r="SVD77" t="s">
        <v>633</v>
      </c>
      <c r="SVE77" t="s">
        <v>229</v>
      </c>
      <c r="SVF77" t="s">
        <v>633</v>
      </c>
      <c r="SVG77" t="s">
        <v>229</v>
      </c>
      <c r="SVH77" t="s">
        <v>633</v>
      </c>
      <c r="SVI77" t="s">
        <v>229</v>
      </c>
      <c r="SVJ77" t="s">
        <v>633</v>
      </c>
      <c r="SVK77" t="s">
        <v>229</v>
      </c>
      <c r="SVL77" t="s">
        <v>633</v>
      </c>
      <c r="SVM77" t="s">
        <v>229</v>
      </c>
      <c r="SVN77" t="s">
        <v>633</v>
      </c>
      <c r="SVO77" t="s">
        <v>229</v>
      </c>
      <c r="SVP77" t="s">
        <v>633</v>
      </c>
      <c r="SVQ77" t="s">
        <v>229</v>
      </c>
      <c r="SVR77" t="s">
        <v>633</v>
      </c>
      <c r="SVS77" t="s">
        <v>229</v>
      </c>
      <c r="SVT77" t="s">
        <v>633</v>
      </c>
      <c r="SVU77" t="s">
        <v>229</v>
      </c>
      <c r="SVV77" t="s">
        <v>633</v>
      </c>
      <c r="SVW77" t="s">
        <v>229</v>
      </c>
      <c r="SVX77" t="s">
        <v>633</v>
      </c>
      <c r="SVY77" t="s">
        <v>229</v>
      </c>
      <c r="SVZ77" t="s">
        <v>633</v>
      </c>
      <c r="SWA77" t="s">
        <v>229</v>
      </c>
      <c r="SWB77" t="s">
        <v>633</v>
      </c>
      <c r="SWC77" t="s">
        <v>229</v>
      </c>
      <c r="SWD77" t="s">
        <v>633</v>
      </c>
      <c r="SWE77" t="s">
        <v>229</v>
      </c>
      <c r="SWF77" t="s">
        <v>633</v>
      </c>
      <c r="SWG77" t="s">
        <v>229</v>
      </c>
      <c r="SWH77" t="s">
        <v>633</v>
      </c>
      <c r="SWI77" t="s">
        <v>229</v>
      </c>
      <c r="SWJ77" t="s">
        <v>633</v>
      </c>
      <c r="SWK77" t="s">
        <v>229</v>
      </c>
      <c r="SWL77" t="s">
        <v>633</v>
      </c>
      <c r="SWM77" t="s">
        <v>229</v>
      </c>
      <c r="SWN77" t="s">
        <v>633</v>
      </c>
      <c r="SWO77" t="s">
        <v>229</v>
      </c>
      <c r="SWP77" t="s">
        <v>633</v>
      </c>
      <c r="SWQ77" t="s">
        <v>229</v>
      </c>
      <c r="SWR77" t="s">
        <v>633</v>
      </c>
      <c r="SWS77" t="s">
        <v>229</v>
      </c>
      <c r="SWT77" t="s">
        <v>633</v>
      </c>
      <c r="SWU77" t="s">
        <v>229</v>
      </c>
      <c r="SWV77" t="s">
        <v>633</v>
      </c>
      <c r="SWW77" t="s">
        <v>229</v>
      </c>
      <c r="SWX77" t="s">
        <v>633</v>
      </c>
      <c r="SWY77" t="s">
        <v>229</v>
      </c>
      <c r="SWZ77" t="s">
        <v>633</v>
      </c>
      <c r="SXA77" t="s">
        <v>229</v>
      </c>
      <c r="SXB77" t="s">
        <v>633</v>
      </c>
      <c r="SXC77" t="s">
        <v>229</v>
      </c>
      <c r="SXD77" t="s">
        <v>633</v>
      </c>
      <c r="SXE77" t="s">
        <v>229</v>
      </c>
      <c r="SXF77" t="s">
        <v>633</v>
      </c>
      <c r="SXG77" t="s">
        <v>229</v>
      </c>
      <c r="SXH77" t="s">
        <v>633</v>
      </c>
      <c r="SXI77" t="s">
        <v>229</v>
      </c>
      <c r="SXJ77" t="s">
        <v>633</v>
      </c>
      <c r="SXK77" t="s">
        <v>229</v>
      </c>
      <c r="SXL77" t="s">
        <v>633</v>
      </c>
      <c r="SXM77" t="s">
        <v>229</v>
      </c>
      <c r="SXN77" t="s">
        <v>633</v>
      </c>
      <c r="SXO77" t="s">
        <v>229</v>
      </c>
      <c r="SXP77" t="s">
        <v>633</v>
      </c>
      <c r="SXQ77" t="s">
        <v>229</v>
      </c>
      <c r="SXR77" t="s">
        <v>633</v>
      </c>
      <c r="SXS77" t="s">
        <v>229</v>
      </c>
      <c r="SXT77" t="s">
        <v>633</v>
      </c>
      <c r="SXU77" t="s">
        <v>229</v>
      </c>
      <c r="SXV77" t="s">
        <v>633</v>
      </c>
      <c r="SXW77" t="s">
        <v>229</v>
      </c>
      <c r="SXX77" t="s">
        <v>633</v>
      </c>
      <c r="SXY77" t="s">
        <v>229</v>
      </c>
      <c r="SXZ77" t="s">
        <v>633</v>
      </c>
      <c r="SYA77" t="s">
        <v>229</v>
      </c>
      <c r="SYB77" t="s">
        <v>633</v>
      </c>
      <c r="SYC77" t="s">
        <v>229</v>
      </c>
      <c r="SYD77" t="s">
        <v>633</v>
      </c>
      <c r="SYE77" t="s">
        <v>229</v>
      </c>
      <c r="SYF77" t="s">
        <v>633</v>
      </c>
      <c r="SYG77" t="s">
        <v>229</v>
      </c>
      <c r="SYH77" t="s">
        <v>633</v>
      </c>
      <c r="SYI77" t="s">
        <v>229</v>
      </c>
      <c r="SYJ77" t="s">
        <v>633</v>
      </c>
      <c r="SYK77" t="s">
        <v>229</v>
      </c>
      <c r="SYL77" t="s">
        <v>633</v>
      </c>
      <c r="SYM77" t="s">
        <v>229</v>
      </c>
      <c r="SYN77" t="s">
        <v>633</v>
      </c>
      <c r="SYO77" t="s">
        <v>229</v>
      </c>
      <c r="SYP77" t="s">
        <v>633</v>
      </c>
      <c r="SYQ77" t="s">
        <v>229</v>
      </c>
      <c r="SYR77" t="s">
        <v>633</v>
      </c>
      <c r="SYS77" t="s">
        <v>229</v>
      </c>
      <c r="SYT77" t="s">
        <v>633</v>
      </c>
      <c r="SYU77" t="s">
        <v>229</v>
      </c>
      <c r="SYV77" t="s">
        <v>633</v>
      </c>
      <c r="SYW77" t="s">
        <v>229</v>
      </c>
      <c r="SYX77" t="s">
        <v>633</v>
      </c>
      <c r="SYY77" t="s">
        <v>229</v>
      </c>
      <c r="SYZ77" t="s">
        <v>633</v>
      </c>
      <c r="SZA77" t="s">
        <v>229</v>
      </c>
      <c r="SZB77" t="s">
        <v>633</v>
      </c>
      <c r="SZC77" t="s">
        <v>229</v>
      </c>
      <c r="SZD77" t="s">
        <v>633</v>
      </c>
      <c r="SZE77" t="s">
        <v>229</v>
      </c>
      <c r="SZF77" t="s">
        <v>633</v>
      </c>
      <c r="SZG77" t="s">
        <v>229</v>
      </c>
      <c r="SZH77" t="s">
        <v>633</v>
      </c>
      <c r="SZI77" t="s">
        <v>229</v>
      </c>
      <c r="SZJ77" t="s">
        <v>633</v>
      </c>
      <c r="SZK77" t="s">
        <v>229</v>
      </c>
      <c r="SZL77" t="s">
        <v>633</v>
      </c>
      <c r="SZM77" t="s">
        <v>229</v>
      </c>
      <c r="SZN77" t="s">
        <v>633</v>
      </c>
      <c r="SZO77" t="s">
        <v>229</v>
      </c>
      <c r="SZP77" t="s">
        <v>633</v>
      </c>
      <c r="SZQ77" t="s">
        <v>229</v>
      </c>
      <c r="SZR77" t="s">
        <v>633</v>
      </c>
      <c r="SZS77" t="s">
        <v>229</v>
      </c>
      <c r="SZT77" t="s">
        <v>633</v>
      </c>
      <c r="SZU77" t="s">
        <v>229</v>
      </c>
      <c r="SZV77" t="s">
        <v>633</v>
      </c>
      <c r="SZW77" t="s">
        <v>229</v>
      </c>
      <c r="SZX77" t="s">
        <v>633</v>
      </c>
      <c r="SZY77" t="s">
        <v>229</v>
      </c>
      <c r="SZZ77" t="s">
        <v>633</v>
      </c>
      <c r="TAA77" t="s">
        <v>229</v>
      </c>
      <c r="TAB77" t="s">
        <v>633</v>
      </c>
      <c r="TAC77" t="s">
        <v>229</v>
      </c>
      <c r="TAD77" t="s">
        <v>633</v>
      </c>
      <c r="TAE77" t="s">
        <v>229</v>
      </c>
      <c r="TAF77" t="s">
        <v>633</v>
      </c>
      <c r="TAG77" t="s">
        <v>229</v>
      </c>
      <c r="TAH77" t="s">
        <v>633</v>
      </c>
      <c r="TAI77" t="s">
        <v>229</v>
      </c>
      <c r="TAJ77" t="s">
        <v>633</v>
      </c>
      <c r="TAK77" t="s">
        <v>229</v>
      </c>
      <c r="TAL77" t="s">
        <v>633</v>
      </c>
      <c r="TAM77" t="s">
        <v>229</v>
      </c>
      <c r="TAN77" t="s">
        <v>633</v>
      </c>
      <c r="TAO77" t="s">
        <v>229</v>
      </c>
      <c r="TAP77" t="s">
        <v>633</v>
      </c>
      <c r="TAQ77" t="s">
        <v>229</v>
      </c>
      <c r="TAR77" t="s">
        <v>633</v>
      </c>
      <c r="TAS77" t="s">
        <v>229</v>
      </c>
      <c r="TAT77" t="s">
        <v>633</v>
      </c>
      <c r="TAU77" t="s">
        <v>229</v>
      </c>
      <c r="TAV77" t="s">
        <v>633</v>
      </c>
      <c r="TAW77" t="s">
        <v>229</v>
      </c>
      <c r="TAX77" t="s">
        <v>633</v>
      </c>
      <c r="TAY77" t="s">
        <v>229</v>
      </c>
      <c r="TAZ77" t="s">
        <v>633</v>
      </c>
      <c r="TBA77" t="s">
        <v>229</v>
      </c>
      <c r="TBB77" t="s">
        <v>633</v>
      </c>
      <c r="TBC77" t="s">
        <v>229</v>
      </c>
      <c r="TBD77" t="s">
        <v>633</v>
      </c>
      <c r="TBE77" t="s">
        <v>229</v>
      </c>
      <c r="TBF77" t="s">
        <v>633</v>
      </c>
      <c r="TBG77" t="s">
        <v>229</v>
      </c>
      <c r="TBH77" t="s">
        <v>633</v>
      </c>
      <c r="TBI77" t="s">
        <v>229</v>
      </c>
      <c r="TBJ77" t="s">
        <v>633</v>
      </c>
      <c r="TBK77" t="s">
        <v>229</v>
      </c>
      <c r="TBL77" t="s">
        <v>633</v>
      </c>
      <c r="TBM77" t="s">
        <v>229</v>
      </c>
      <c r="TBN77" t="s">
        <v>633</v>
      </c>
      <c r="TBO77" t="s">
        <v>229</v>
      </c>
      <c r="TBP77" t="s">
        <v>633</v>
      </c>
      <c r="TBQ77" t="s">
        <v>229</v>
      </c>
      <c r="TBR77" t="s">
        <v>633</v>
      </c>
      <c r="TBS77" t="s">
        <v>229</v>
      </c>
      <c r="TBT77" t="s">
        <v>633</v>
      </c>
      <c r="TBU77" t="s">
        <v>229</v>
      </c>
      <c r="TBV77" t="s">
        <v>633</v>
      </c>
      <c r="TBW77" t="s">
        <v>229</v>
      </c>
      <c r="TBX77" t="s">
        <v>633</v>
      </c>
      <c r="TBY77" t="s">
        <v>229</v>
      </c>
      <c r="TBZ77" t="s">
        <v>633</v>
      </c>
      <c r="TCA77" t="s">
        <v>229</v>
      </c>
      <c r="TCB77" t="s">
        <v>633</v>
      </c>
      <c r="TCC77" t="s">
        <v>229</v>
      </c>
      <c r="TCD77" t="s">
        <v>633</v>
      </c>
      <c r="TCE77" t="s">
        <v>229</v>
      </c>
      <c r="TCF77" t="s">
        <v>633</v>
      </c>
      <c r="TCG77" t="s">
        <v>229</v>
      </c>
      <c r="TCH77" t="s">
        <v>633</v>
      </c>
      <c r="TCI77" t="s">
        <v>229</v>
      </c>
      <c r="TCJ77" t="s">
        <v>633</v>
      </c>
      <c r="TCK77" t="s">
        <v>229</v>
      </c>
      <c r="TCL77" t="s">
        <v>633</v>
      </c>
      <c r="TCM77" t="s">
        <v>229</v>
      </c>
      <c r="TCN77" t="s">
        <v>633</v>
      </c>
      <c r="TCO77" t="s">
        <v>229</v>
      </c>
      <c r="TCP77" t="s">
        <v>633</v>
      </c>
      <c r="TCQ77" t="s">
        <v>229</v>
      </c>
      <c r="TCR77" t="s">
        <v>633</v>
      </c>
      <c r="TCS77" t="s">
        <v>229</v>
      </c>
      <c r="TCT77" t="s">
        <v>633</v>
      </c>
      <c r="TCU77" t="s">
        <v>229</v>
      </c>
      <c r="TCV77" t="s">
        <v>633</v>
      </c>
      <c r="TCW77" t="s">
        <v>229</v>
      </c>
      <c r="TCX77" t="s">
        <v>633</v>
      </c>
      <c r="TCY77" t="s">
        <v>229</v>
      </c>
      <c r="TCZ77" t="s">
        <v>633</v>
      </c>
      <c r="TDA77" t="s">
        <v>229</v>
      </c>
      <c r="TDB77" t="s">
        <v>633</v>
      </c>
      <c r="TDC77" t="s">
        <v>229</v>
      </c>
      <c r="TDD77" t="s">
        <v>633</v>
      </c>
      <c r="TDE77" t="s">
        <v>229</v>
      </c>
      <c r="TDF77" t="s">
        <v>633</v>
      </c>
      <c r="TDG77" t="s">
        <v>229</v>
      </c>
      <c r="TDH77" t="s">
        <v>633</v>
      </c>
      <c r="TDI77" t="s">
        <v>229</v>
      </c>
      <c r="TDJ77" t="s">
        <v>633</v>
      </c>
      <c r="TDK77" t="s">
        <v>229</v>
      </c>
      <c r="TDL77" t="s">
        <v>633</v>
      </c>
      <c r="TDM77" t="s">
        <v>229</v>
      </c>
      <c r="TDN77" t="s">
        <v>633</v>
      </c>
      <c r="TDO77" t="s">
        <v>229</v>
      </c>
      <c r="TDP77" t="s">
        <v>633</v>
      </c>
      <c r="TDQ77" t="s">
        <v>229</v>
      </c>
      <c r="TDR77" t="s">
        <v>633</v>
      </c>
      <c r="TDS77" t="s">
        <v>229</v>
      </c>
      <c r="TDT77" t="s">
        <v>633</v>
      </c>
      <c r="TDU77" t="s">
        <v>229</v>
      </c>
      <c r="TDV77" t="s">
        <v>633</v>
      </c>
      <c r="TDW77" t="s">
        <v>229</v>
      </c>
      <c r="TDX77" t="s">
        <v>633</v>
      </c>
      <c r="TDY77" t="s">
        <v>229</v>
      </c>
      <c r="TDZ77" t="s">
        <v>633</v>
      </c>
      <c r="TEA77" t="s">
        <v>229</v>
      </c>
      <c r="TEB77" t="s">
        <v>633</v>
      </c>
      <c r="TEC77" t="s">
        <v>229</v>
      </c>
      <c r="TED77" t="s">
        <v>633</v>
      </c>
      <c r="TEE77" t="s">
        <v>229</v>
      </c>
      <c r="TEF77" t="s">
        <v>633</v>
      </c>
      <c r="TEG77" t="s">
        <v>229</v>
      </c>
      <c r="TEH77" t="s">
        <v>633</v>
      </c>
      <c r="TEI77" t="s">
        <v>229</v>
      </c>
      <c r="TEJ77" t="s">
        <v>633</v>
      </c>
      <c r="TEK77" t="s">
        <v>229</v>
      </c>
      <c r="TEL77" t="s">
        <v>633</v>
      </c>
      <c r="TEM77" t="s">
        <v>229</v>
      </c>
      <c r="TEN77" t="s">
        <v>633</v>
      </c>
      <c r="TEO77" t="s">
        <v>229</v>
      </c>
      <c r="TEP77" t="s">
        <v>633</v>
      </c>
      <c r="TEQ77" t="s">
        <v>229</v>
      </c>
      <c r="TER77" t="s">
        <v>633</v>
      </c>
      <c r="TES77" t="s">
        <v>229</v>
      </c>
      <c r="TET77" t="s">
        <v>633</v>
      </c>
      <c r="TEU77" t="s">
        <v>229</v>
      </c>
      <c r="TEV77" t="s">
        <v>633</v>
      </c>
      <c r="TEW77" t="s">
        <v>229</v>
      </c>
      <c r="TEX77" t="s">
        <v>633</v>
      </c>
      <c r="TEY77" t="s">
        <v>229</v>
      </c>
      <c r="TEZ77" t="s">
        <v>633</v>
      </c>
      <c r="TFA77" t="s">
        <v>229</v>
      </c>
      <c r="TFB77" t="s">
        <v>633</v>
      </c>
      <c r="TFC77" t="s">
        <v>229</v>
      </c>
      <c r="TFD77" t="s">
        <v>633</v>
      </c>
      <c r="TFE77" t="s">
        <v>229</v>
      </c>
      <c r="TFF77" t="s">
        <v>633</v>
      </c>
      <c r="TFG77" t="s">
        <v>229</v>
      </c>
      <c r="TFH77" t="s">
        <v>633</v>
      </c>
      <c r="TFI77" t="s">
        <v>229</v>
      </c>
      <c r="TFJ77" t="s">
        <v>633</v>
      </c>
      <c r="TFK77" t="s">
        <v>229</v>
      </c>
      <c r="TFL77" t="s">
        <v>633</v>
      </c>
      <c r="TFM77" t="s">
        <v>229</v>
      </c>
      <c r="TFN77" t="s">
        <v>633</v>
      </c>
      <c r="TFO77" t="s">
        <v>229</v>
      </c>
      <c r="TFP77" t="s">
        <v>633</v>
      </c>
      <c r="TFQ77" t="s">
        <v>229</v>
      </c>
      <c r="TFR77" t="s">
        <v>633</v>
      </c>
      <c r="TFS77" t="s">
        <v>229</v>
      </c>
      <c r="TFT77" t="s">
        <v>633</v>
      </c>
      <c r="TFU77" t="s">
        <v>229</v>
      </c>
      <c r="TFV77" t="s">
        <v>633</v>
      </c>
      <c r="TFW77" t="s">
        <v>229</v>
      </c>
      <c r="TFX77" t="s">
        <v>633</v>
      </c>
      <c r="TFY77" t="s">
        <v>229</v>
      </c>
      <c r="TFZ77" t="s">
        <v>633</v>
      </c>
      <c r="TGA77" t="s">
        <v>229</v>
      </c>
      <c r="TGB77" t="s">
        <v>633</v>
      </c>
      <c r="TGC77" t="s">
        <v>229</v>
      </c>
      <c r="TGD77" t="s">
        <v>633</v>
      </c>
      <c r="TGE77" t="s">
        <v>229</v>
      </c>
      <c r="TGF77" t="s">
        <v>633</v>
      </c>
      <c r="TGG77" t="s">
        <v>229</v>
      </c>
      <c r="TGH77" t="s">
        <v>633</v>
      </c>
      <c r="TGI77" t="s">
        <v>229</v>
      </c>
      <c r="TGJ77" t="s">
        <v>633</v>
      </c>
      <c r="TGK77" t="s">
        <v>229</v>
      </c>
      <c r="TGL77" t="s">
        <v>633</v>
      </c>
      <c r="TGM77" t="s">
        <v>229</v>
      </c>
      <c r="TGN77" t="s">
        <v>633</v>
      </c>
      <c r="TGO77" t="s">
        <v>229</v>
      </c>
      <c r="TGP77" t="s">
        <v>633</v>
      </c>
      <c r="TGQ77" t="s">
        <v>229</v>
      </c>
      <c r="TGR77" t="s">
        <v>633</v>
      </c>
      <c r="TGS77" t="s">
        <v>229</v>
      </c>
      <c r="TGT77" t="s">
        <v>633</v>
      </c>
      <c r="TGU77" t="s">
        <v>229</v>
      </c>
      <c r="TGV77" t="s">
        <v>633</v>
      </c>
      <c r="TGW77" t="s">
        <v>229</v>
      </c>
      <c r="TGX77" t="s">
        <v>633</v>
      </c>
      <c r="TGY77" t="s">
        <v>229</v>
      </c>
      <c r="TGZ77" t="s">
        <v>633</v>
      </c>
      <c r="THA77" t="s">
        <v>229</v>
      </c>
      <c r="THB77" t="s">
        <v>633</v>
      </c>
      <c r="THC77" t="s">
        <v>229</v>
      </c>
      <c r="THD77" t="s">
        <v>633</v>
      </c>
      <c r="THE77" t="s">
        <v>229</v>
      </c>
      <c r="THF77" t="s">
        <v>633</v>
      </c>
      <c r="THG77" t="s">
        <v>229</v>
      </c>
      <c r="THH77" t="s">
        <v>633</v>
      </c>
      <c r="THI77" t="s">
        <v>229</v>
      </c>
      <c r="THJ77" t="s">
        <v>633</v>
      </c>
      <c r="THK77" t="s">
        <v>229</v>
      </c>
      <c r="THL77" t="s">
        <v>633</v>
      </c>
      <c r="THM77" t="s">
        <v>229</v>
      </c>
      <c r="THN77" t="s">
        <v>633</v>
      </c>
      <c r="THO77" t="s">
        <v>229</v>
      </c>
      <c r="THP77" t="s">
        <v>633</v>
      </c>
      <c r="THQ77" t="s">
        <v>229</v>
      </c>
      <c r="THR77" t="s">
        <v>633</v>
      </c>
      <c r="THS77" t="s">
        <v>229</v>
      </c>
      <c r="THT77" t="s">
        <v>633</v>
      </c>
      <c r="THU77" t="s">
        <v>229</v>
      </c>
      <c r="THV77" t="s">
        <v>633</v>
      </c>
      <c r="THW77" t="s">
        <v>229</v>
      </c>
      <c r="THX77" t="s">
        <v>633</v>
      </c>
      <c r="THY77" t="s">
        <v>229</v>
      </c>
      <c r="THZ77" t="s">
        <v>633</v>
      </c>
      <c r="TIA77" t="s">
        <v>229</v>
      </c>
      <c r="TIB77" t="s">
        <v>633</v>
      </c>
      <c r="TIC77" t="s">
        <v>229</v>
      </c>
      <c r="TID77" t="s">
        <v>633</v>
      </c>
      <c r="TIE77" t="s">
        <v>229</v>
      </c>
      <c r="TIF77" t="s">
        <v>633</v>
      </c>
      <c r="TIG77" t="s">
        <v>229</v>
      </c>
      <c r="TIH77" t="s">
        <v>633</v>
      </c>
      <c r="TII77" t="s">
        <v>229</v>
      </c>
      <c r="TIJ77" t="s">
        <v>633</v>
      </c>
      <c r="TIK77" t="s">
        <v>229</v>
      </c>
      <c r="TIL77" t="s">
        <v>633</v>
      </c>
      <c r="TIM77" t="s">
        <v>229</v>
      </c>
      <c r="TIN77" t="s">
        <v>633</v>
      </c>
      <c r="TIO77" t="s">
        <v>229</v>
      </c>
      <c r="TIP77" t="s">
        <v>633</v>
      </c>
      <c r="TIQ77" t="s">
        <v>229</v>
      </c>
      <c r="TIR77" t="s">
        <v>633</v>
      </c>
      <c r="TIS77" t="s">
        <v>229</v>
      </c>
      <c r="TIT77" t="s">
        <v>633</v>
      </c>
      <c r="TIU77" t="s">
        <v>229</v>
      </c>
      <c r="TIV77" t="s">
        <v>633</v>
      </c>
      <c r="TIW77" t="s">
        <v>229</v>
      </c>
      <c r="TIX77" t="s">
        <v>633</v>
      </c>
      <c r="TIY77" t="s">
        <v>229</v>
      </c>
      <c r="TIZ77" t="s">
        <v>633</v>
      </c>
      <c r="TJA77" t="s">
        <v>229</v>
      </c>
      <c r="TJB77" t="s">
        <v>633</v>
      </c>
      <c r="TJC77" t="s">
        <v>229</v>
      </c>
      <c r="TJD77" t="s">
        <v>633</v>
      </c>
      <c r="TJE77" t="s">
        <v>229</v>
      </c>
      <c r="TJF77" t="s">
        <v>633</v>
      </c>
      <c r="TJG77" t="s">
        <v>229</v>
      </c>
      <c r="TJH77" t="s">
        <v>633</v>
      </c>
      <c r="TJI77" t="s">
        <v>229</v>
      </c>
      <c r="TJJ77" t="s">
        <v>633</v>
      </c>
      <c r="TJK77" t="s">
        <v>229</v>
      </c>
      <c r="TJL77" t="s">
        <v>633</v>
      </c>
      <c r="TJM77" t="s">
        <v>229</v>
      </c>
      <c r="TJN77" t="s">
        <v>633</v>
      </c>
      <c r="TJO77" t="s">
        <v>229</v>
      </c>
      <c r="TJP77" t="s">
        <v>633</v>
      </c>
      <c r="TJQ77" t="s">
        <v>229</v>
      </c>
      <c r="TJR77" t="s">
        <v>633</v>
      </c>
      <c r="TJS77" t="s">
        <v>229</v>
      </c>
      <c r="TJT77" t="s">
        <v>633</v>
      </c>
      <c r="TJU77" t="s">
        <v>229</v>
      </c>
      <c r="TJV77" t="s">
        <v>633</v>
      </c>
      <c r="TJW77" t="s">
        <v>229</v>
      </c>
      <c r="TJX77" t="s">
        <v>633</v>
      </c>
      <c r="TJY77" t="s">
        <v>229</v>
      </c>
      <c r="TJZ77" t="s">
        <v>633</v>
      </c>
      <c r="TKA77" t="s">
        <v>229</v>
      </c>
      <c r="TKB77" t="s">
        <v>633</v>
      </c>
      <c r="TKC77" t="s">
        <v>229</v>
      </c>
      <c r="TKD77" t="s">
        <v>633</v>
      </c>
      <c r="TKE77" t="s">
        <v>229</v>
      </c>
      <c r="TKF77" t="s">
        <v>633</v>
      </c>
      <c r="TKG77" t="s">
        <v>229</v>
      </c>
      <c r="TKH77" t="s">
        <v>633</v>
      </c>
      <c r="TKI77" t="s">
        <v>229</v>
      </c>
      <c r="TKJ77" t="s">
        <v>633</v>
      </c>
      <c r="TKK77" t="s">
        <v>229</v>
      </c>
      <c r="TKL77" t="s">
        <v>633</v>
      </c>
      <c r="TKM77" t="s">
        <v>229</v>
      </c>
      <c r="TKN77" t="s">
        <v>633</v>
      </c>
      <c r="TKO77" t="s">
        <v>229</v>
      </c>
      <c r="TKP77" t="s">
        <v>633</v>
      </c>
      <c r="TKQ77" t="s">
        <v>229</v>
      </c>
      <c r="TKR77" t="s">
        <v>633</v>
      </c>
      <c r="TKS77" t="s">
        <v>229</v>
      </c>
      <c r="TKT77" t="s">
        <v>633</v>
      </c>
      <c r="TKU77" t="s">
        <v>229</v>
      </c>
      <c r="TKV77" t="s">
        <v>633</v>
      </c>
      <c r="TKW77" t="s">
        <v>229</v>
      </c>
      <c r="TKX77" t="s">
        <v>633</v>
      </c>
      <c r="TKY77" t="s">
        <v>229</v>
      </c>
      <c r="TKZ77" t="s">
        <v>633</v>
      </c>
      <c r="TLA77" t="s">
        <v>229</v>
      </c>
      <c r="TLB77" t="s">
        <v>633</v>
      </c>
      <c r="TLC77" t="s">
        <v>229</v>
      </c>
      <c r="TLD77" t="s">
        <v>633</v>
      </c>
      <c r="TLE77" t="s">
        <v>229</v>
      </c>
      <c r="TLF77" t="s">
        <v>633</v>
      </c>
      <c r="TLG77" t="s">
        <v>229</v>
      </c>
      <c r="TLH77" t="s">
        <v>633</v>
      </c>
      <c r="TLI77" t="s">
        <v>229</v>
      </c>
      <c r="TLJ77" t="s">
        <v>633</v>
      </c>
      <c r="TLK77" t="s">
        <v>229</v>
      </c>
      <c r="TLL77" t="s">
        <v>633</v>
      </c>
      <c r="TLM77" t="s">
        <v>229</v>
      </c>
      <c r="TLN77" t="s">
        <v>633</v>
      </c>
      <c r="TLO77" t="s">
        <v>229</v>
      </c>
      <c r="TLP77" t="s">
        <v>633</v>
      </c>
      <c r="TLQ77" t="s">
        <v>229</v>
      </c>
      <c r="TLR77" t="s">
        <v>633</v>
      </c>
      <c r="TLS77" t="s">
        <v>229</v>
      </c>
      <c r="TLT77" t="s">
        <v>633</v>
      </c>
      <c r="TLU77" t="s">
        <v>229</v>
      </c>
      <c r="TLV77" t="s">
        <v>633</v>
      </c>
      <c r="TLW77" t="s">
        <v>229</v>
      </c>
      <c r="TLX77" t="s">
        <v>633</v>
      </c>
      <c r="TLY77" t="s">
        <v>229</v>
      </c>
      <c r="TLZ77" t="s">
        <v>633</v>
      </c>
      <c r="TMA77" t="s">
        <v>229</v>
      </c>
      <c r="TMB77" t="s">
        <v>633</v>
      </c>
      <c r="TMC77" t="s">
        <v>229</v>
      </c>
      <c r="TMD77" t="s">
        <v>633</v>
      </c>
      <c r="TME77" t="s">
        <v>229</v>
      </c>
      <c r="TMF77" t="s">
        <v>633</v>
      </c>
      <c r="TMG77" t="s">
        <v>229</v>
      </c>
      <c r="TMH77" t="s">
        <v>633</v>
      </c>
      <c r="TMI77" t="s">
        <v>229</v>
      </c>
      <c r="TMJ77" t="s">
        <v>633</v>
      </c>
      <c r="TMK77" t="s">
        <v>229</v>
      </c>
      <c r="TML77" t="s">
        <v>633</v>
      </c>
      <c r="TMM77" t="s">
        <v>229</v>
      </c>
      <c r="TMN77" t="s">
        <v>633</v>
      </c>
      <c r="TMO77" t="s">
        <v>229</v>
      </c>
      <c r="TMP77" t="s">
        <v>633</v>
      </c>
      <c r="TMQ77" t="s">
        <v>229</v>
      </c>
      <c r="TMR77" t="s">
        <v>633</v>
      </c>
      <c r="TMS77" t="s">
        <v>229</v>
      </c>
      <c r="TMT77" t="s">
        <v>633</v>
      </c>
      <c r="TMU77" t="s">
        <v>229</v>
      </c>
      <c r="TMV77" t="s">
        <v>633</v>
      </c>
      <c r="TMW77" t="s">
        <v>229</v>
      </c>
      <c r="TMX77" t="s">
        <v>633</v>
      </c>
      <c r="TMY77" t="s">
        <v>229</v>
      </c>
      <c r="TMZ77" t="s">
        <v>633</v>
      </c>
      <c r="TNA77" t="s">
        <v>229</v>
      </c>
      <c r="TNB77" t="s">
        <v>633</v>
      </c>
      <c r="TNC77" t="s">
        <v>229</v>
      </c>
      <c r="TND77" t="s">
        <v>633</v>
      </c>
      <c r="TNE77" t="s">
        <v>229</v>
      </c>
      <c r="TNF77" t="s">
        <v>633</v>
      </c>
      <c r="TNG77" t="s">
        <v>229</v>
      </c>
      <c r="TNH77" t="s">
        <v>633</v>
      </c>
      <c r="TNI77" t="s">
        <v>229</v>
      </c>
      <c r="TNJ77" t="s">
        <v>633</v>
      </c>
      <c r="TNK77" t="s">
        <v>229</v>
      </c>
      <c r="TNL77" t="s">
        <v>633</v>
      </c>
      <c r="TNM77" t="s">
        <v>229</v>
      </c>
      <c r="TNN77" t="s">
        <v>633</v>
      </c>
      <c r="TNO77" t="s">
        <v>229</v>
      </c>
      <c r="TNP77" t="s">
        <v>633</v>
      </c>
      <c r="TNQ77" t="s">
        <v>229</v>
      </c>
      <c r="TNR77" t="s">
        <v>633</v>
      </c>
      <c r="TNS77" t="s">
        <v>229</v>
      </c>
      <c r="TNT77" t="s">
        <v>633</v>
      </c>
      <c r="TNU77" t="s">
        <v>229</v>
      </c>
      <c r="TNV77" t="s">
        <v>633</v>
      </c>
      <c r="TNW77" t="s">
        <v>229</v>
      </c>
      <c r="TNX77" t="s">
        <v>633</v>
      </c>
      <c r="TNY77" t="s">
        <v>229</v>
      </c>
      <c r="TNZ77" t="s">
        <v>633</v>
      </c>
      <c r="TOA77" t="s">
        <v>229</v>
      </c>
      <c r="TOB77" t="s">
        <v>633</v>
      </c>
      <c r="TOC77" t="s">
        <v>229</v>
      </c>
      <c r="TOD77" t="s">
        <v>633</v>
      </c>
      <c r="TOE77" t="s">
        <v>229</v>
      </c>
      <c r="TOF77" t="s">
        <v>633</v>
      </c>
      <c r="TOG77" t="s">
        <v>229</v>
      </c>
      <c r="TOH77" t="s">
        <v>633</v>
      </c>
      <c r="TOI77" t="s">
        <v>229</v>
      </c>
      <c r="TOJ77" t="s">
        <v>633</v>
      </c>
      <c r="TOK77" t="s">
        <v>229</v>
      </c>
      <c r="TOL77" t="s">
        <v>633</v>
      </c>
      <c r="TOM77" t="s">
        <v>229</v>
      </c>
      <c r="TON77" t="s">
        <v>633</v>
      </c>
      <c r="TOO77" t="s">
        <v>229</v>
      </c>
      <c r="TOP77" t="s">
        <v>633</v>
      </c>
      <c r="TOQ77" t="s">
        <v>229</v>
      </c>
      <c r="TOR77" t="s">
        <v>633</v>
      </c>
      <c r="TOS77" t="s">
        <v>229</v>
      </c>
      <c r="TOT77" t="s">
        <v>633</v>
      </c>
      <c r="TOU77" t="s">
        <v>229</v>
      </c>
      <c r="TOV77" t="s">
        <v>633</v>
      </c>
      <c r="TOW77" t="s">
        <v>229</v>
      </c>
      <c r="TOX77" t="s">
        <v>633</v>
      </c>
      <c r="TOY77" t="s">
        <v>229</v>
      </c>
      <c r="TOZ77" t="s">
        <v>633</v>
      </c>
      <c r="TPA77" t="s">
        <v>229</v>
      </c>
      <c r="TPB77" t="s">
        <v>633</v>
      </c>
      <c r="TPC77" t="s">
        <v>229</v>
      </c>
      <c r="TPD77" t="s">
        <v>633</v>
      </c>
      <c r="TPE77" t="s">
        <v>229</v>
      </c>
      <c r="TPF77" t="s">
        <v>633</v>
      </c>
      <c r="TPG77" t="s">
        <v>229</v>
      </c>
      <c r="TPH77" t="s">
        <v>633</v>
      </c>
      <c r="TPI77" t="s">
        <v>229</v>
      </c>
      <c r="TPJ77" t="s">
        <v>633</v>
      </c>
      <c r="TPK77" t="s">
        <v>229</v>
      </c>
      <c r="TPL77" t="s">
        <v>633</v>
      </c>
      <c r="TPM77" t="s">
        <v>229</v>
      </c>
      <c r="TPN77" t="s">
        <v>633</v>
      </c>
      <c r="TPO77" t="s">
        <v>229</v>
      </c>
      <c r="TPP77" t="s">
        <v>633</v>
      </c>
      <c r="TPQ77" t="s">
        <v>229</v>
      </c>
      <c r="TPR77" t="s">
        <v>633</v>
      </c>
      <c r="TPS77" t="s">
        <v>229</v>
      </c>
      <c r="TPT77" t="s">
        <v>633</v>
      </c>
      <c r="TPU77" t="s">
        <v>229</v>
      </c>
      <c r="TPV77" t="s">
        <v>633</v>
      </c>
      <c r="TPW77" t="s">
        <v>229</v>
      </c>
      <c r="TPX77" t="s">
        <v>633</v>
      </c>
      <c r="TPY77" t="s">
        <v>229</v>
      </c>
      <c r="TPZ77" t="s">
        <v>633</v>
      </c>
      <c r="TQA77" t="s">
        <v>229</v>
      </c>
      <c r="TQB77" t="s">
        <v>633</v>
      </c>
      <c r="TQC77" t="s">
        <v>229</v>
      </c>
      <c r="TQD77" t="s">
        <v>633</v>
      </c>
      <c r="TQE77" t="s">
        <v>229</v>
      </c>
      <c r="TQF77" t="s">
        <v>633</v>
      </c>
      <c r="TQG77" t="s">
        <v>229</v>
      </c>
      <c r="TQH77" t="s">
        <v>633</v>
      </c>
      <c r="TQI77" t="s">
        <v>229</v>
      </c>
      <c r="TQJ77" t="s">
        <v>633</v>
      </c>
      <c r="TQK77" t="s">
        <v>229</v>
      </c>
      <c r="TQL77" t="s">
        <v>633</v>
      </c>
      <c r="TQM77" t="s">
        <v>229</v>
      </c>
      <c r="TQN77" t="s">
        <v>633</v>
      </c>
      <c r="TQO77" t="s">
        <v>229</v>
      </c>
      <c r="TQP77" t="s">
        <v>633</v>
      </c>
      <c r="TQQ77" t="s">
        <v>229</v>
      </c>
      <c r="TQR77" t="s">
        <v>633</v>
      </c>
      <c r="TQS77" t="s">
        <v>229</v>
      </c>
      <c r="TQT77" t="s">
        <v>633</v>
      </c>
      <c r="TQU77" t="s">
        <v>229</v>
      </c>
      <c r="TQV77" t="s">
        <v>633</v>
      </c>
      <c r="TQW77" t="s">
        <v>229</v>
      </c>
      <c r="TQX77" t="s">
        <v>633</v>
      </c>
      <c r="TQY77" t="s">
        <v>229</v>
      </c>
      <c r="TQZ77" t="s">
        <v>633</v>
      </c>
      <c r="TRA77" t="s">
        <v>229</v>
      </c>
      <c r="TRB77" t="s">
        <v>633</v>
      </c>
      <c r="TRC77" t="s">
        <v>229</v>
      </c>
      <c r="TRD77" t="s">
        <v>633</v>
      </c>
      <c r="TRE77" t="s">
        <v>229</v>
      </c>
      <c r="TRF77" t="s">
        <v>633</v>
      </c>
      <c r="TRG77" t="s">
        <v>229</v>
      </c>
      <c r="TRH77" t="s">
        <v>633</v>
      </c>
      <c r="TRI77" t="s">
        <v>229</v>
      </c>
      <c r="TRJ77" t="s">
        <v>633</v>
      </c>
      <c r="TRK77" t="s">
        <v>229</v>
      </c>
      <c r="TRL77" t="s">
        <v>633</v>
      </c>
      <c r="TRM77" t="s">
        <v>229</v>
      </c>
      <c r="TRN77" t="s">
        <v>633</v>
      </c>
      <c r="TRO77" t="s">
        <v>229</v>
      </c>
      <c r="TRP77" t="s">
        <v>633</v>
      </c>
      <c r="TRQ77" t="s">
        <v>229</v>
      </c>
      <c r="TRR77" t="s">
        <v>633</v>
      </c>
      <c r="TRS77" t="s">
        <v>229</v>
      </c>
      <c r="TRT77" t="s">
        <v>633</v>
      </c>
      <c r="TRU77" t="s">
        <v>229</v>
      </c>
      <c r="TRV77" t="s">
        <v>633</v>
      </c>
      <c r="TRW77" t="s">
        <v>229</v>
      </c>
      <c r="TRX77" t="s">
        <v>633</v>
      </c>
      <c r="TRY77" t="s">
        <v>229</v>
      </c>
      <c r="TRZ77" t="s">
        <v>633</v>
      </c>
      <c r="TSA77" t="s">
        <v>229</v>
      </c>
      <c r="TSB77" t="s">
        <v>633</v>
      </c>
      <c r="TSC77" t="s">
        <v>229</v>
      </c>
      <c r="TSD77" t="s">
        <v>633</v>
      </c>
      <c r="TSE77" t="s">
        <v>229</v>
      </c>
      <c r="TSF77" t="s">
        <v>633</v>
      </c>
      <c r="TSG77" t="s">
        <v>229</v>
      </c>
      <c r="TSH77" t="s">
        <v>633</v>
      </c>
      <c r="TSI77" t="s">
        <v>229</v>
      </c>
      <c r="TSJ77" t="s">
        <v>633</v>
      </c>
      <c r="TSK77" t="s">
        <v>229</v>
      </c>
      <c r="TSL77" t="s">
        <v>633</v>
      </c>
      <c r="TSM77" t="s">
        <v>229</v>
      </c>
      <c r="TSN77" t="s">
        <v>633</v>
      </c>
      <c r="TSO77" t="s">
        <v>229</v>
      </c>
      <c r="TSP77" t="s">
        <v>633</v>
      </c>
      <c r="TSQ77" t="s">
        <v>229</v>
      </c>
      <c r="TSR77" t="s">
        <v>633</v>
      </c>
      <c r="TSS77" t="s">
        <v>229</v>
      </c>
      <c r="TST77" t="s">
        <v>633</v>
      </c>
      <c r="TSU77" t="s">
        <v>229</v>
      </c>
      <c r="TSV77" t="s">
        <v>633</v>
      </c>
      <c r="TSW77" t="s">
        <v>229</v>
      </c>
      <c r="TSX77" t="s">
        <v>633</v>
      </c>
      <c r="TSY77" t="s">
        <v>229</v>
      </c>
      <c r="TSZ77" t="s">
        <v>633</v>
      </c>
      <c r="TTA77" t="s">
        <v>229</v>
      </c>
      <c r="TTB77" t="s">
        <v>633</v>
      </c>
      <c r="TTC77" t="s">
        <v>229</v>
      </c>
      <c r="TTD77" t="s">
        <v>633</v>
      </c>
      <c r="TTE77" t="s">
        <v>229</v>
      </c>
      <c r="TTF77" t="s">
        <v>633</v>
      </c>
      <c r="TTG77" t="s">
        <v>229</v>
      </c>
      <c r="TTH77" t="s">
        <v>633</v>
      </c>
      <c r="TTI77" t="s">
        <v>229</v>
      </c>
      <c r="TTJ77" t="s">
        <v>633</v>
      </c>
      <c r="TTK77" t="s">
        <v>229</v>
      </c>
      <c r="TTL77" t="s">
        <v>633</v>
      </c>
      <c r="TTM77" t="s">
        <v>229</v>
      </c>
      <c r="TTN77" t="s">
        <v>633</v>
      </c>
      <c r="TTO77" t="s">
        <v>229</v>
      </c>
      <c r="TTP77" t="s">
        <v>633</v>
      </c>
      <c r="TTQ77" t="s">
        <v>229</v>
      </c>
      <c r="TTR77" t="s">
        <v>633</v>
      </c>
      <c r="TTS77" t="s">
        <v>229</v>
      </c>
      <c r="TTT77" t="s">
        <v>633</v>
      </c>
      <c r="TTU77" t="s">
        <v>229</v>
      </c>
      <c r="TTV77" t="s">
        <v>633</v>
      </c>
      <c r="TTW77" t="s">
        <v>229</v>
      </c>
      <c r="TTX77" t="s">
        <v>633</v>
      </c>
      <c r="TTY77" t="s">
        <v>229</v>
      </c>
      <c r="TTZ77" t="s">
        <v>633</v>
      </c>
      <c r="TUA77" t="s">
        <v>229</v>
      </c>
      <c r="TUB77" t="s">
        <v>633</v>
      </c>
      <c r="TUC77" t="s">
        <v>229</v>
      </c>
      <c r="TUD77" t="s">
        <v>633</v>
      </c>
      <c r="TUE77" t="s">
        <v>229</v>
      </c>
      <c r="TUF77" t="s">
        <v>633</v>
      </c>
      <c r="TUG77" t="s">
        <v>229</v>
      </c>
      <c r="TUH77" t="s">
        <v>633</v>
      </c>
      <c r="TUI77" t="s">
        <v>229</v>
      </c>
      <c r="TUJ77" t="s">
        <v>633</v>
      </c>
      <c r="TUK77" t="s">
        <v>229</v>
      </c>
      <c r="TUL77" t="s">
        <v>633</v>
      </c>
      <c r="TUM77" t="s">
        <v>229</v>
      </c>
      <c r="TUN77" t="s">
        <v>633</v>
      </c>
      <c r="TUO77" t="s">
        <v>229</v>
      </c>
      <c r="TUP77" t="s">
        <v>633</v>
      </c>
      <c r="TUQ77" t="s">
        <v>229</v>
      </c>
      <c r="TUR77" t="s">
        <v>633</v>
      </c>
      <c r="TUS77" t="s">
        <v>229</v>
      </c>
      <c r="TUT77" t="s">
        <v>633</v>
      </c>
      <c r="TUU77" t="s">
        <v>229</v>
      </c>
      <c r="TUV77" t="s">
        <v>633</v>
      </c>
      <c r="TUW77" t="s">
        <v>229</v>
      </c>
      <c r="TUX77" t="s">
        <v>633</v>
      </c>
      <c r="TUY77" t="s">
        <v>229</v>
      </c>
      <c r="TUZ77" t="s">
        <v>633</v>
      </c>
      <c r="TVA77" t="s">
        <v>229</v>
      </c>
      <c r="TVB77" t="s">
        <v>633</v>
      </c>
      <c r="TVC77" t="s">
        <v>229</v>
      </c>
      <c r="TVD77" t="s">
        <v>633</v>
      </c>
      <c r="TVE77" t="s">
        <v>229</v>
      </c>
      <c r="TVF77" t="s">
        <v>633</v>
      </c>
      <c r="TVG77" t="s">
        <v>229</v>
      </c>
      <c r="TVH77" t="s">
        <v>633</v>
      </c>
      <c r="TVI77" t="s">
        <v>229</v>
      </c>
      <c r="TVJ77" t="s">
        <v>633</v>
      </c>
      <c r="TVK77" t="s">
        <v>229</v>
      </c>
      <c r="TVL77" t="s">
        <v>633</v>
      </c>
      <c r="TVM77" t="s">
        <v>229</v>
      </c>
      <c r="TVN77" t="s">
        <v>633</v>
      </c>
      <c r="TVO77" t="s">
        <v>229</v>
      </c>
      <c r="TVP77" t="s">
        <v>633</v>
      </c>
      <c r="TVQ77" t="s">
        <v>229</v>
      </c>
      <c r="TVR77" t="s">
        <v>633</v>
      </c>
      <c r="TVS77" t="s">
        <v>229</v>
      </c>
      <c r="TVT77" t="s">
        <v>633</v>
      </c>
      <c r="TVU77" t="s">
        <v>229</v>
      </c>
      <c r="TVV77" t="s">
        <v>633</v>
      </c>
      <c r="TVW77" t="s">
        <v>229</v>
      </c>
      <c r="TVX77" t="s">
        <v>633</v>
      </c>
      <c r="TVY77" t="s">
        <v>229</v>
      </c>
      <c r="TVZ77" t="s">
        <v>633</v>
      </c>
      <c r="TWA77" t="s">
        <v>229</v>
      </c>
      <c r="TWB77" t="s">
        <v>633</v>
      </c>
      <c r="TWC77" t="s">
        <v>229</v>
      </c>
      <c r="TWD77" t="s">
        <v>633</v>
      </c>
      <c r="TWE77" t="s">
        <v>229</v>
      </c>
      <c r="TWF77" t="s">
        <v>633</v>
      </c>
      <c r="TWG77" t="s">
        <v>229</v>
      </c>
      <c r="TWH77" t="s">
        <v>633</v>
      </c>
      <c r="TWI77" t="s">
        <v>229</v>
      </c>
      <c r="TWJ77" t="s">
        <v>633</v>
      </c>
      <c r="TWK77" t="s">
        <v>229</v>
      </c>
      <c r="TWL77" t="s">
        <v>633</v>
      </c>
      <c r="TWM77" t="s">
        <v>229</v>
      </c>
      <c r="TWN77" t="s">
        <v>633</v>
      </c>
      <c r="TWO77" t="s">
        <v>229</v>
      </c>
      <c r="TWP77" t="s">
        <v>633</v>
      </c>
      <c r="TWQ77" t="s">
        <v>229</v>
      </c>
      <c r="TWR77" t="s">
        <v>633</v>
      </c>
      <c r="TWS77" t="s">
        <v>229</v>
      </c>
      <c r="TWT77" t="s">
        <v>633</v>
      </c>
      <c r="TWU77" t="s">
        <v>229</v>
      </c>
      <c r="TWV77" t="s">
        <v>633</v>
      </c>
      <c r="TWW77" t="s">
        <v>229</v>
      </c>
      <c r="TWX77" t="s">
        <v>633</v>
      </c>
      <c r="TWY77" t="s">
        <v>229</v>
      </c>
      <c r="TWZ77" t="s">
        <v>633</v>
      </c>
      <c r="TXA77" t="s">
        <v>229</v>
      </c>
      <c r="TXB77" t="s">
        <v>633</v>
      </c>
      <c r="TXC77" t="s">
        <v>229</v>
      </c>
      <c r="TXD77" t="s">
        <v>633</v>
      </c>
      <c r="TXE77" t="s">
        <v>229</v>
      </c>
      <c r="TXF77" t="s">
        <v>633</v>
      </c>
      <c r="TXG77" t="s">
        <v>229</v>
      </c>
      <c r="TXH77" t="s">
        <v>633</v>
      </c>
      <c r="TXI77" t="s">
        <v>229</v>
      </c>
      <c r="TXJ77" t="s">
        <v>633</v>
      </c>
      <c r="TXK77" t="s">
        <v>229</v>
      </c>
      <c r="TXL77" t="s">
        <v>633</v>
      </c>
      <c r="TXM77" t="s">
        <v>229</v>
      </c>
      <c r="TXN77" t="s">
        <v>633</v>
      </c>
      <c r="TXO77" t="s">
        <v>229</v>
      </c>
      <c r="TXP77" t="s">
        <v>633</v>
      </c>
      <c r="TXQ77" t="s">
        <v>229</v>
      </c>
      <c r="TXR77" t="s">
        <v>633</v>
      </c>
      <c r="TXS77" t="s">
        <v>229</v>
      </c>
      <c r="TXT77" t="s">
        <v>633</v>
      </c>
      <c r="TXU77" t="s">
        <v>229</v>
      </c>
      <c r="TXV77" t="s">
        <v>633</v>
      </c>
      <c r="TXW77" t="s">
        <v>229</v>
      </c>
      <c r="TXX77" t="s">
        <v>633</v>
      </c>
      <c r="TXY77" t="s">
        <v>229</v>
      </c>
      <c r="TXZ77" t="s">
        <v>633</v>
      </c>
      <c r="TYA77" t="s">
        <v>229</v>
      </c>
      <c r="TYB77" t="s">
        <v>633</v>
      </c>
      <c r="TYC77" t="s">
        <v>229</v>
      </c>
      <c r="TYD77" t="s">
        <v>633</v>
      </c>
      <c r="TYE77" t="s">
        <v>229</v>
      </c>
      <c r="TYF77" t="s">
        <v>633</v>
      </c>
      <c r="TYG77" t="s">
        <v>229</v>
      </c>
      <c r="TYH77" t="s">
        <v>633</v>
      </c>
      <c r="TYI77" t="s">
        <v>229</v>
      </c>
      <c r="TYJ77" t="s">
        <v>633</v>
      </c>
      <c r="TYK77" t="s">
        <v>229</v>
      </c>
      <c r="TYL77" t="s">
        <v>633</v>
      </c>
      <c r="TYM77" t="s">
        <v>229</v>
      </c>
      <c r="TYN77" t="s">
        <v>633</v>
      </c>
      <c r="TYO77" t="s">
        <v>229</v>
      </c>
      <c r="TYP77" t="s">
        <v>633</v>
      </c>
      <c r="TYQ77" t="s">
        <v>229</v>
      </c>
      <c r="TYR77" t="s">
        <v>633</v>
      </c>
      <c r="TYS77" t="s">
        <v>229</v>
      </c>
      <c r="TYT77" t="s">
        <v>633</v>
      </c>
      <c r="TYU77" t="s">
        <v>229</v>
      </c>
      <c r="TYV77" t="s">
        <v>633</v>
      </c>
      <c r="TYW77" t="s">
        <v>229</v>
      </c>
      <c r="TYX77" t="s">
        <v>633</v>
      </c>
      <c r="TYY77" t="s">
        <v>229</v>
      </c>
      <c r="TYZ77" t="s">
        <v>633</v>
      </c>
      <c r="TZA77" t="s">
        <v>229</v>
      </c>
      <c r="TZB77" t="s">
        <v>633</v>
      </c>
      <c r="TZC77" t="s">
        <v>229</v>
      </c>
      <c r="TZD77" t="s">
        <v>633</v>
      </c>
      <c r="TZE77" t="s">
        <v>229</v>
      </c>
      <c r="TZF77" t="s">
        <v>633</v>
      </c>
      <c r="TZG77" t="s">
        <v>229</v>
      </c>
      <c r="TZH77" t="s">
        <v>633</v>
      </c>
      <c r="TZI77" t="s">
        <v>229</v>
      </c>
      <c r="TZJ77" t="s">
        <v>633</v>
      </c>
      <c r="TZK77" t="s">
        <v>229</v>
      </c>
      <c r="TZL77" t="s">
        <v>633</v>
      </c>
      <c r="TZM77" t="s">
        <v>229</v>
      </c>
      <c r="TZN77" t="s">
        <v>633</v>
      </c>
      <c r="TZO77" t="s">
        <v>229</v>
      </c>
      <c r="TZP77" t="s">
        <v>633</v>
      </c>
      <c r="TZQ77" t="s">
        <v>229</v>
      </c>
      <c r="TZR77" t="s">
        <v>633</v>
      </c>
      <c r="TZS77" t="s">
        <v>229</v>
      </c>
      <c r="TZT77" t="s">
        <v>633</v>
      </c>
      <c r="TZU77" t="s">
        <v>229</v>
      </c>
      <c r="TZV77" t="s">
        <v>633</v>
      </c>
      <c r="TZW77" t="s">
        <v>229</v>
      </c>
      <c r="TZX77" t="s">
        <v>633</v>
      </c>
      <c r="TZY77" t="s">
        <v>229</v>
      </c>
      <c r="TZZ77" t="s">
        <v>633</v>
      </c>
      <c r="UAA77" t="s">
        <v>229</v>
      </c>
      <c r="UAB77" t="s">
        <v>633</v>
      </c>
      <c r="UAC77" t="s">
        <v>229</v>
      </c>
      <c r="UAD77" t="s">
        <v>633</v>
      </c>
      <c r="UAE77" t="s">
        <v>229</v>
      </c>
      <c r="UAF77" t="s">
        <v>633</v>
      </c>
      <c r="UAG77" t="s">
        <v>229</v>
      </c>
      <c r="UAH77" t="s">
        <v>633</v>
      </c>
      <c r="UAI77" t="s">
        <v>229</v>
      </c>
      <c r="UAJ77" t="s">
        <v>633</v>
      </c>
      <c r="UAK77" t="s">
        <v>229</v>
      </c>
      <c r="UAL77" t="s">
        <v>633</v>
      </c>
      <c r="UAM77" t="s">
        <v>229</v>
      </c>
      <c r="UAN77" t="s">
        <v>633</v>
      </c>
      <c r="UAO77" t="s">
        <v>229</v>
      </c>
      <c r="UAP77" t="s">
        <v>633</v>
      </c>
      <c r="UAQ77" t="s">
        <v>229</v>
      </c>
      <c r="UAR77" t="s">
        <v>633</v>
      </c>
      <c r="UAS77" t="s">
        <v>229</v>
      </c>
      <c r="UAT77" t="s">
        <v>633</v>
      </c>
      <c r="UAU77" t="s">
        <v>229</v>
      </c>
      <c r="UAV77" t="s">
        <v>633</v>
      </c>
      <c r="UAW77" t="s">
        <v>229</v>
      </c>
      <c r="UAX77" t="s">
        <v>633</v>
      </c>
      <c r="UAY77" t="s">
        <v>229</v>
      </c>
      <c r="UAZ77" t="s">
        <v>633</v>
      </c>
      <c r="UBA77" t="s">
        <v>229</v>
      </c>
      <c r="UBB77" t="s">
        <v>633</v>
      </c>
      <c r="UBC77" t="s">
        <v>229</v>
      </c>
      <c r="UBD77" t="s">
        <v>633</v>
      </c>
      <c r="UBE77" t="s">
        <v>229</v>
      </c>
      <c r="UBF77" t="s">
        <v>633</v>
      </c>
      <c r="UBG77" t="s">
        <v>229</v>
      </c>
      <c r="UBH77" t="s">
        <v>633</v>
      </c>
      <c r="UBI77" t="s">
        <v>229</v>
      </c>
      <c r="UBJ77" t="s">
        <v>633</v>
      </c>
      <c r="UBK77" t="s">
        <v>229</v>
      </c>
      <c r="UBL77" t="s">
        <v>633</v>
      </c>
      <c r="UBM77" t="s">
        <v>229</v>
      </c>
      <c r="UBN77" t="s">
        <v>633</v>
      </c>
      <c r="UBO77" t="s">
        <v>229</v>
      </c>
      <c r="UBP77" t="s">
        <v>633</v>
      </c>
      <c r="UBQ77" t="s">
        <v>229</v>
      </c>
      <c r="UBR77" t="s">
        <v>633</v>
      </c>
      <c r="UBS77" t="s">
        <v>229</v>
      </c>
      <c r="UBT77" t="s">
        <v>633</v>
      </c>
      <c r="UBU77" t="s">
        <v>229</v>
      </c>
      <c r="UBV77" t="s">
        <v>633</v>
      </c>
      <c r="UBW77" t="s">
        <v>229</v>
      </c>
      <c r="UBX77" t="s">
        <v>633</v>
      </c>
      <c r="UBY77" t="s">
        <v>229</v>
      </c>
      <c r="UBZ77" t="s">
        <v>633</v>
      </c>
      <c r="UCA77" t="s">
        <v>229</v>
      </c>
      <c r="UCB77" t="s">
        <v>633</v>
      </c>
      <c r="UCC77" t="s">
        <v>229</v>
      </c>
      <c r="UCD77" t="s">
        <v>633</v>
      </c>
      <c r="UCE77" t="s">
        <v>229</v>
      </c>
      <c r="UCF77" t="s">
        <v>633</v>
      </c>
      <c r="UCG77" t="s">
        <v>229</v>
      </c>
      <c r="UCH77" t="s">
        <v>633</v>
      </c>
      <c r="UCI77" t="s">
        <v>229</v>
      </c>
      <c r="UCJ77" t="s">
        <v>633</v>
      </c>
      <c r="UCK77" t="s">
        <v>229</v>
      </c>
      <c r="UCL77" t="s">
        <v>633</v>
      </c>
      <c r="UCM77" t="s">
        <v>229</v>
      </c>
      <c r="UCN77" t="s">
        <v>633</v>
      </c>
      <c r="UCO77" t="s">
        <v>229</v>
      </c>
      <c r="UCP77" t="s">
        <v>633</v>
      </c>
      <c r="UCQ77" t="s">
        <v>229</v>
      </c>
      <c r="UCR77" t="s">
        <v>633</v>
      </c>
      <c r="UCS77" t="s">
        <v>229</v>
      </c>
      <c r="UCT77" t="s">
        <v>633</v>
      </c>
      <c r="UCU77" t="s">
        <v>229</v>
      </c>
      <c r="UCV77" t="s">
        <v>633</v>
      </c>
      <c r="UCW77" t="s">
        <v>229</v>
      </c>
      <c r="UCX77" t="s">
        <v>633</v>
      </c>
      <c r="UCY77" t="s">
        <v>229</v>
      </c>
      <c r="UCZ77" t="s">
        <v>633</v>
      </c>
      <c r="UDA77" t="s">
        <v>229</v>
      </c>
      <c r="UDB77" t="s">
        <v>633</v>
      </c>
      <c r="UDC77" t="s">
        <v>229</v>
      </c>
      <c r="UDD77" t="s">
        <v>633</v>
      </c>
      <c r="UDE77" t="s">
        <v>229</v>
      </c>
      <c r="UDF77" t="s">
        <v>633</v>
      </c>
      <c r="UDG77" t="s">
        <v>229</v>
      </c>
      <c r="UDH77" t="s">
        <v>633</v>
      </c>
      <c r="UDI77" t="s">
        <v>229</v>
      </c>
      <c r="UDJ77" t="s">
        <v>633</v>
      </c>
      <c r="UDK77" t="s">
        <v>229</v>
      </c>
      <c r="UDL77" t="s">
        <v>633</v>
      </c>
      <c r="UDM77" t="s">
        <v>229</v>
      </c>
      <c r="UDN77" t="s">
        <v>633</v>
      </c>
      <c r="UDO77" t="s">
        <v>229</v>
      </c>
      <c r="UDP77" t="s">
        <v>633</v>
      </c>
      <c r="UDQ77" t="s">
        <v>229</v>
      </c>
      <c r="UDR77" t="s">
        <v>633</v>
      </c>
      <c r="UDS77" t="s">
        <v>229</v>
      </c>
      <c r="UDT77" t="s">
        <v>633</v>
      </c>
      <c r="UDU77" t="s">
        <v>229</v>
      </c>
      <c r="UDV77" t="s">
        <v>633</v>
      </c>
      <c r="UDW77" t="s">
        <v>229</v>
      </c>
      <c r="UDX77" t="s">
        <v>633</v>
      </c>
      <c r="UDY77" t="s">
        <v>229</v>
      </c>
      <c r="UDZ77" t="s">
        <v>633</v>
      </c>
      <c r="UEA77" t="s">
        <v>229</v>
      </c>
      <c r="UEB77" t="s">
        <v>633</v>
      </c>
      <c r="UEC77" t="s">
        <v>229</v>
      </c>
      <c r="UED77" t="s">
        <v>633</v>
      </c>
      <c r="UEE77" t="s">
        <v>229</v>
      </c>
      <c r="UEF77" t="s">
        <v>633</v>
      </c>
      <c r="UEG77" t="s">
        <v>229</v>
      </c>
      <c r="UEH77" t="s">
        <v>633</v>
      </c>
      <c r="UEI77" t="s">
        <v>229</v>
      </c>
      <c r="UEJ77" t="s">
        <v>633</v>
      </c>
      <c r="UEK77" t="s">
        <v>229</v>
      </c>
      <c r="UEL77" t="s">
        <v>633</v>
      </c>
      <c r="UEM77" t="s">
        <v>229</v>
      </c>
      <c r="UEN77" t="s">
        <v>633</v>
      </c>
      <c r="UEO77" t="s">
        <v>229</v>
      </c>
      <c r="UEP77" t="s">
        <v>633</v>
      </c>
      <c r="UEQ77" t="s">
        <v>229</v>
      </c>
      <c r="UER77" t="s">
        <v>633</v>
      </c>
      <c r="UES77" t="s">
        <v>229</v>
      </c>
      <c r="UET77" t="s">
        <v>633</v>
      </c>
      <c r="UEU77" t="s">
        <v>229</v>
      </c>
      <c r="UEV77" t="s">
        <v>633</v>
      </c>
      <c r="UEW77" t="s">
        <v>229</v>
      </c>
      <c r="UEX77" t="s">
        <v>633</v>
      </c>
      <c r="UEY77" t="s">
        <v>229</v>
      </c>
      <c r="UEZ77" t="s">
        <v>633</v>
      </c>
      <c r="UFA77" t="s">
        <v>229</v>
      </c>
      <c r="UFB77" t="s">
        <v>633</v>
      </c>
      <c r="UFC77" t="s">
        <v>229</v>
      </c>
      <c r="UFD77" t="s">
        <v>633</v>
      </c>
      <c r="UFE77" t="s">
        <v>229</v>
      </c>
      <c r="UFF77" t="s">
        <v>633</v>
      </c>
      <c r="UFG77" t="s">
        <v>229</v>
      </c>
      <c r="UFH77" t="s">
        <v>633</v>
      </c>
      <c r="UFI77" t="s">
        <v>229</v>
      </c>
      <c r="UFJ77" t="s">
        <v>633</v>
      </c>
      <c r="UFK77" t="s">
        <v>229</v>
      </c>
      <c r="UFL77" t="s">
        <v>633</v>
      </c>
      <c r="UFM77" t="s">
        <v>229</v>
      </c>
      <c r="UFN77" t="s">
        <v>633</v>
      </c>
      <c r="UFO77" t="s">
        <v>229</v>
      </c>
      <c r="UFP77" t="s">
        <v>633</v>
      </c>
      <c r="UFQ77" t="s">
        <v>229</v>
      </c>
      <c r="UFR77" t="s">
        <v>633</v>
      </c>
      <c r="UFS77" t="s">
        <v>229</v>
      </c>
      <c r="UFT77" t="s">
        <v>633</v>
      </c>
      <c r="UFU77" t="s">
        <v>229</v>
      </c>
      <c r="UFV77" t="s">
        <v>633</v>
      </c>
      <c r="UFW77" t="s">
        <v>229</v>
      </c>
      <c r="UFX77" t="s">
        <v>633</v>
      </c>
      <c r="UFY77" t="s">
        <v>229</v>
      </c>
      <c r="UFZ77" t="s">
        <v>633</v>
      </c>
      <c r="UGA77" t="s">
        <v>229</v>
      </c>
      <c r="UGB77" t="s">
        <v>633</v>
      </c>
      <c r="UGC77" t="s">
        <v>229</v>
      </c>
      <c r="UGD77" t="s">
        <v>633</v>
      </c>
      <c r="UGE77" t="s">
        <v>229</v>
      </c>
      <c r="UGF77" t="s">
        <v>633</v>
      </c>
      <c r="UGG77" t="s">
        <v>229</v>
      </c>
      <c r="UGH77" t="s">
        <v>633</v>
      </c>
      <c r="UGI77" t="s">
        <v>229</v>
      </c>
      <c r="UGJ77" t="s">
        <v>633</v>
      </c>
      <c r="UGK77" t="s">
        <v>229</v>
      </c>
      <c r="UGL77" t="s">
        <v>633</v>
      </c>
      <c r="UGM77" t="s">
        <v>229</v>
      </c>
      <c r="UGN77" t="s">
        <v>633</v>
      </c>
      <c r="UGO77" t="s">
        <v>229</v>
      </c>
      <c r="UGP77" t="s">
        <v>633</v>
      </c>
      <c r="UGQ77" t="s">
        <v>229</v>
      </c>
      <c r="UGR77" t="s">
        <v>633</v>
      </c>
      <c r="UGS77" t="s">
        <v>229</v>
      </c>
      <c r="UGT77" t="s">
        <v>633</v>
      </c>
      <c r="UGU77" t="s">
        <v>229</v>
      </c>
      <c r="UGV77" t="s">
        <v>633</v>
      </c>
      <c r="UGW77" t="s">
        <v>229</v>
      </c>
      <c r="UGX77" t="s">
        <v>633</v>
      </c>
      <c r="UGY77" t="s">
        <v>229</v>
      </c>
      <c r="UGZ77" t="s">
        <v>633</v>
      </c>
      <c r="UHA77" t="s">
        <v>229</v>
      </c>
      <c r="UHB77" t="s">
        <v>633</v>
      </c>
      <c r="UHC77" t="s">
        <v>229</v>
      </c>
      <c r="UHD77" t="s">
        <v>633</v>
      </c>
      <c r="UHE77" t="s">
        <v>229</v>
      </c>
      <c r="UHF77" t="s">
        <v>633</v>
      </c>
      <c r="UHG77" t="s">
        <v>229</v>
      </c>
      <c r="UHH77" t="s">
        <v>633</v>
      </c>
      <c r="UHI77" t="s">
        <v>229</v>
      </c>
      <c r="UHJ77" t="s">
        <v>633</v>
      </c>
      <c r="UHK77" t="s">
        <v>229</v>
      </c>
      <c r="UHL77" t="s">
        <v>633</v>
      </c>
      <c r="UHM77" t="s">
        <v>229</v>
      </c>
      <c r="UHN77" t="s">
        <v>633</v>
      </c>
      <c r="UHO77" t="s">
        <v>229</v>
      </c>
      <c r="UHP77" t="s">
        <v>633</v>
      </c>
      <c r="UHQ77" t="s">
        <v>229</v>
      </c>
      <c r="UHR77" t="s">
        <v>633</v>
      </c>
      <c r="UHS77" t="s">
        <v>229</v>
      </c>
      <c r="UHT77" t="s">
        <v>633</v>
      </c>
      <c r="UHU77" t="s">
        <v>229</v>
      </c>
      <c r="UHV77" t="s">
        <v>633</v>
      </c>
      <c r="UHW77" t="s">
        <v>229</v>
      </c>
      <c r="UHX77" t="s">
        <v>633</v>
      </c>
      <c r="UHY77" t="s">
        <v>229</v>
      </c>
      <c r="UHZ77" t="s">
        <v>633</v>
      </c>
      <c r="UIA77" t="s">
        <v>229</v>
      </c>
      <c r="UIB77" t="s">
        <v>633</v>
      </c>
      <c r="UIC77" t="s">
        <v>229</v>
      </c>
      <c r="UID77" t="s">
        <v>633</v>
      </c>
      <c r="UIE77" t="s">
        <v>229</v>
      </c>
      <c r="UIF77" t="s">
        <v>633</v>
      </c>
      <c r="UIG77" t="s">
        <v>229</v>
      </c>
      <c r="UIH77" t="s">
        <v>633</v>
      </c>
      <c r="UII77" t="s">
        <v>229</v>
      </c>
      <c r="UIJ77" t="s">
        <v>633</v>
      </c>
      <c r="UIK77" t="s">
        <v>229</v>
      </c>
      <c r="UIL77" t="s">
        <v>633</v>
      </c>
      <c r="UIM77" t="s">
        <v>229</v>
      </c>
      <c r="UIN77" t="s">
        <v>633</v>
      </c>
      <c r="UIO77" t="s">
        <v>229</v>
      </c>
      <c r="UIP77" t="s">
        <v>633</v>
      </c>
      <c r="UIQ77" t="s">
        <v>229</v>
      </c>
      <c r="UIR77" t="s">
        <v>633</v>
      </c>
      <c r="UIS77" t="s">
        <v>229</v>
      </c>
      <c r="UIT77" t="s">
        <v>633</v>
      </c>
      <c r="UIU77" t="s">
        <v>229</v>
      </c>
      <c r="UIV77" t="s">
        <v>633</v>
      </c>
      <c r="UIW77" t="s">
        <v>229</v>
      </c>
      <c r="UIX77" t="s">
        <v>633</v>
      </c>
      <c r="UIY77" t="s">
        <v>229</v>
      </c>
      <c r="UIZ77" t="s">
        <v>633</v>
      </c>
      <c r="UJA77" t="s">
        <v>229</v>
      </c>
      <c r="UJB77" t="s">
        <v>633</v>
      </c>
      <c r="UJC77" t="s">
        <v>229</v>
      </c>
      <c r="UJD77" t="s">
        <v>633</v>
      </c>
      <c r="UJE77" t="s">
        <v>229</v>
      </c>
      <c r="UJF77" t="s">
        <v>633</v>
      </c>
      <c r="UJG77" t="s">
        <v>229</v>
      </c>
      <c r="UJH77" t="s">
        <v>633</v>
      </c>
      <c r="UJI77" t="s">
        <v>229</v>
      </c>
      <c r="UJJ77" t="s">
        <v>633</v>
      </c>
      <c r="UJK77" t="s">
        <v>229</v>
      </c>
      <c r="UJL77" t="s">
        <v>633</v>
      </c>
      <c r="UJM77" t="s">
        <v>229</v>
      </c>
      <c r="UJN77" t="s">
        <v>633</v>
      </c>
      <c r="UJO77" t="s">
        <v>229</v>
      </c>
      <c r="UJP77" t="s">
        <v>633</v>
      </c>
      <c r="UJQ77" t="s">
        <v>229</v>
      </c>
      <c r="UJR77" t="s">
        <v>633</v>
      </c>
      <c r="UJS77" t="s">
        <v>229</v>
      </c>
      <c r="UJT77" t="s">
        <v>633</v>
      </c>
      <c r="UJU77" t="s">
        <v>229</v>
      </c>
      <c r="UJV77" t="s">
        <v>633</v>
      </c>
      <c r="UJW77" t="s">
        <v>229</v>
      </c>
      <c r="UJX77" t="s">
        <v>633</v>
      </c>
      <c r="UJY77" t="s">
        <v>229</v>
      </c>
      <c r="UJZ77" t="s">
        <v>633</v>
      </c>
      <c r="UKA77" t="s">
        <v>229</v>
      </c>
      <c r="UKB77" t="s">
        <v>633</v>
      </c>
      <c r="UKC77" t="s">
        <v>229</v>
      </c>
      <c r="UKD77" t="s">
        <v>633</v>
      </c>
      <c r="UKE77" t="s">
        <v>229</v>
      </c>
      <c r="UKF77" t="s">
        <v>633</v>
      </c>
      <c r="UKG77" t="s">
        <v>229</v>
      </c>
      <c r="UKH77" t="s">
        <v>633</v>
      </c>
      <c r="UKI77" t="s">
        <v>229</v>
      </c>
      <c r="UKJ77" t="s">
        <v>633</v>
      </c>
      <c r="UKK77" t="s">
        <v>229</v>
      </c>
      <c r="UKL77" t="s">
        <v>633</v>
      </c>
      <c r="UKM77" t="s">
        <v>229</v>
      </c>
      <c r="UKN77" t="s">
        <v>633</v>
      </c>
      <c r="UKO77" t="s">
        <v>229</v>
      </c>
      <c r="UKP77" t="s">
        <v>633</v>
      </c>
      <c r="UKQ77" t="s">
        <v>229</v>
      </c>
      <c r="UKR77" t="s">
        <v>633</v>
      </c>
      <c r="UKS77" t="s">
        <v>229</v>
      </c>
      <c r="UKT77" t="s">
        <v>633</v>
      </c>
      <c r="UKU77" t="s">
        <v>229</v>
      </c>
      <c r="UKV77" t="s">
        <v>633</v>
      </c>
      <c r="UKW77" t="s">
        <v>229</v>
      </c>
      <c r="UKX77" t="s">
        <v>633</v>
      </c>
      <c r="UKY77" t="s">
        <v>229</v>
      </c>
      <c r="UKZ77" t="s">
        <v>633</v>
      </c>
      <c r="ULA77" t="s">
        <v>229</v>
      </c>
      <c r="ULB77" t="s">
        <v>633</v>
      </c>
      <c r="ULC77" t="s">
        <v>229</v>
      </c>
      <c r="ULD77" t="s">
        <v>633</v>
      </c>
      <c r="ULE77" t="s">
        <v>229</v>
      </c>
      <c r="ULF77" t="s">
        <v>633</v>
      </c>
      <c r="ULG77" t="s">
        <v>229</v>
      </c>
      <c r="ULH77" t="s">
        <v>633</v>
      </c>
      <c r="ULI77" t="s">
        <v>229</v>
      </c>
      <c r="ULJ77" t="s">
        <v>633</v>
      </c>
      <c r="ULK77" t="s">
        <v>229</v>
      </c>
      <c r="ULL77" t="s">
        <v>633</v>
      </c>
      <c r="ULM77" t="s">
        <v>229</v>
      </c>
      <c r="ULN77" t="s">
        <v>633</v>
      </c>
      <c r="ULO77" t="s">
        <v>229</v>
      </c>
      <c r="ULP77" t="s">
        <v>633</v>
      </c>
      <c r="ULQ77" t="s">
        <v>229</v>
      </c>
      <c r="ULR77" t="s">
        <v>633</v>
      </c>
      <c r="ULS77" t="s">
        <v>229</v>
      </c>
      <c r="ULT77" t="s">
        <v>633</v>
      </c>
      <c r="ULU77" t="s">
        <v>229</v>
      </c>
      <c r="ULV77" t="s">
        <v>633</v>
      </c>
      <c r="ULW77" t="s">
        <v>229</v>
      </c>
      <c r="ULX77" t="s">
        <v>633</v>
      </c>
      <c r="ULY77" t="s">
        <v>229</v>
      </c>
      <c r="ULZ77" t="s">
        <v>633</v>
      </c>
      <c r="UMA77" t="s">
        <v>229</v>
      </c>
      <c r="UMB77" t="s">
        <v>633</v>
      </c>
      <c r="UMC77" t="s">
        <v>229</v>
      </c>
      <c r="UMD77" t="s">
        <v>633</v>
      </c>
      <c r="UME77" t="s">
        <v>229</v>
      </c>
      <c r="UMF77" t="s">
        <v>633</v>
      </c>
      <c r="UMG77" t="s">
        <v>229</v>
      </c>
      <c r="UMH77" t="s">
        <v>633</v>
      </c>
      <c r="UMI77" t="s">
        <v>229</v>
      </c>
      <c r="UMJ77" t="s">
        <v>633</v>
      </c>
      <c r="UMK77" t="s">
        <v>229</v>
      </c>
      <c r="UML77" t="s">
        <v>633</v>
      </c>
      <c r="UMM77" t="s">
        <v>229</v>
      </c>
      <c r="UMN77" t="s">
        <v>633</v>
      </c>
      <c r="UMO77" t="s">
        <v>229</v>
      </c>
      <c r="UMP77" t="s">
        <v>633</v>
      </c>
      <c r="UMQ77" t="s">
        <v>229</v>
      </c>
      <c r="UMR77" t="s">
        <v>633</v>
      </c>
      <c r="UMS77" t="s">
        <v>229</v>
      </c>
      <c r="UMT77" t="s">
        <v>633</v>
      </c>
      <c r="UMU77" t="s">
        <v>229</v>
      </c>
      <c r="UMV77" t="s">
        <v>633</v>
      </c>
      <c r="UMW77" t="s">
        <v>229</v>
      </c>
      <c r="UMX77" t="s">
        <v>633</v>
      </c>
      <c r="UMY77" t="s">
        <v>229</v>
      </c>
      <c r="UMZ77" t="s">
        <v>633</v>
      </c>
      <c r="UNA77" t="s">
        <v>229</v>
      </c>
      <c r="UNB77" t="s">
        <v>633</v>
      </c>
      <c r="UNC77" t="s">
        <v>229</v>
      </c>
      <c r="UND77" t="s">
        <v>633</v>
      </c>
      <c r="UNE77" t="s">
        <v>229</v>
      </c>
      <c r="UNF77" t="s">
        <v>633</v>
      </c>
      <c r="UNG77" t="s">
        <v>229</v>
      </c>
      <c r="UNH77" t="s">
        <v>633</v>
      </c>
      <c r="UNI77" t="s">
        <v>229</v>
      </c>
      <c r="UNJ77" t="s">
        <v>633</v>
      </c>
      <c r="UNK77" t="s">
        <v>229</v>
      </c>
      <c r="UNL77" t="s">
        <v>633</v>
      </c>
      <c r="UNM77" t="s">
        <v>229</v>
      </c>
      <c r="UNN77" t="s">
        <v>633</v>
      </c>
      <c r="UNO77" t="s">
        <v>229</v>
      </c>
      <c r="UNP77" t="s">
        <v>633</v>
      </c>
      <c r="UNQ77" t="s">
        <v>229</v>
      </c>
      <c r="UNR77" t="s">
        <v>633</v>
      </c>
      <c r="UNS77" t="s">
        <v>229</v>
      </c>
      <c r="UNT77" t="s">
        <v>633</v>
      </c>
      <c r="UNU77" t="s">
        <v>229</v>
      </c>
      <c r="UNV77" t="s">
        <v>633</v>
      </c>
      <c r="UNW77" t="s">
        <v>229</v>
      </c>
      <c r="UNX77" t="s">
        <v>633</v>
      </c>
      <c r="UNY77" t="s">
        <v>229</v>
      </c>
      <c r="UNZ77" t="s">
        <v>633</v>
      </c>
      <c r="UOA77" t="s">
        <v>229</v>
      </c>
      <c r="UOB77" t="s">
        <v>633</v>
      </c>
      <c r="UOC77" t="s">
        <v>229</v>
      </c>
      <c r="UOD77" t="s">
        <v>633</v>
      </c>
      <c r="UOE77" t="s">
        <v>229</v>
      </c>
      <c r="UOF77" t="s">
        <v>633</v>
      </c>
      <c r="UOG77" t="s">
        <v>229</v>
      </c>
      <c r="UOH77" t="s">
        <v>633</v>
      </c>
      <c r="UOI77" t="s">
        <v>229</v>
      </c>
      <c r="UOJ77" t="s">
        <v>633</v>
      </c>
      <c r="UOK77" t="s">
        <v>229</v>
      </c>
      <c r="UOL77" t="s">
        <v>633</v>
      </c>
      <c r="UOM77" t="s">
        <v>229</v>
      </c>
      <c r="UON77" t="s">
        <v>633</v>
      </c>
      <c r="UOO77" t="s">
        <v>229</v>
      </c>
      <c r="UOP77" t="s">
        <v>633</v>
      </c>
      <c r="UOQ77" t="s">
        <v>229</v>
      </c>
      <c r="UOR77" t="s">
        <v>633</v>
      </c>
      <c r="UOS77" t="s">
        <v>229</v>
      </c>
      <c r="UOT77" t="s">
        <v>633</v>
      </c>
      <c r="UOU77" t="s">
        <v>229</v>
      </c>
      <c r="UOV77" t="s">
        <v>633</v>
      </c>
      <c r="UOW77" t="s">
        <v>229</v>
      </c>
      <c r="UOX77" t="s">
        <v>633</v>
      </c>
      <c r="UOY77" t="s">
        <v>229</v>
      </c>
      <c r="UOZ77" t="s">
        <v>633</v>
      </c>
      <c r="UPA77" t="s">
        <v>229</v>
      </c>
      <c r="UPB77" t="s">
        <v>633</v>
      </c>
      <c r="UPC77" t="s">
        <v>229</v>
      </c>
      <c r="UPD77" t="s">
        <v>633</v>
      </c>
      <c r="UPE77" t="s">
        <v>229</v>
      </c>
      <c r="UPF77" t="s">
        <v>633</v>
      </c>
      <c r="UPG77" t="s">
        <v>229</v>
      </c>
      <c r="UPH77" t="s">
        <v>633</v>
      </c>
      <c r="UPI77" t="s">
        <v>229</v>
      </c>
      <c r="UPJ77" t="s">
        <v>633</v>
      </c>
      <c r="UPK77" t="s">
        <v>229</v>
      </c>
      <c r="UPL77" t="s">
        <v>633</v>
      </c>
      <c r="UPM77" t="s">
        <v>229</v>
      </c>
      <c r="UPN77" t="s">
        <v>633</v>
      </c>
      <c r="UPO77" t="s">
        <v>229</v>
      </c>
      <c r="UPP77" t="s">
        <v>633</v>
      </c>
      <c r="UPQ77" t="s">
        <v>229</v>
      </c>
      <c r="UPR77" t="s">
        <v>633</v>
      </c>
      <c r="UPS77" t="s">
        <v>229</v>
      </c>
      <c r="UPT77" t="s">
        <v>633</v>
      </c>
      <c r="UPU77" t="s">
        <v>229</v>
      </c>
      <c r="UPV77" t="s">
        <v>633</v>
      </c>
      <c r="UPW77" t="s">
        <v>229</v>
      </c>
      <c r="UPX77" t="s">
        <v>633</v>
      </c>
      <c r="UPY77" t="s">
        <v>229</v>
      </c>
      <c r="UPZ77" t="s">
        <v>633</v>
      </c>
      <c r="UQA77" t="s">
        <v>229</v>
      </c>
      <c r="UQB77" t="s">
        <v>633</v>
      </c>
      <c r="UQC77" t="s">
        <v>229</v>
      </c>
      <c r="UQD77" t="s">
        <v>633</v>
      </c>
      <c r="UQE77" t="s">
        <v>229</v>
      </c>
      <c r="UQF77" t="s">
        <v>633</v>
      </c>
      <c r="UQG77" t="s">
        <v>229</v>
      </c>
      <c r="UQH77" t="s">
        <v>633</v>
      </c>
      <c r="UQI77" t="s">
        <v>229</v>
      </c>
      <c r="UQJ77" t="s">
        <v>633</v>
      </c>
      <c r="UQK77" t="s">
        <v>229</v>
      </c>
      <c r="UQL77" t="s">
        <v>633</v>
      </c>
      <c r="UQM77" t="s">
        <v>229</v>
      </c>
      <c r="UQN77" t="s">
        <v>633</v>
      </c>
      <c r="UQO77" t="s">
        <v>229</v>
      </c>
      <c r="UQP77" t="s">
        <v>633</v>
      </c>
      <c r="UQQ77" t="s">
        <v>229</v>
      </c>
      <c r="UQR77" t="s">
        <v>633</v>
      </c>
      <c r="UQS77" t="s">
        <v>229</v>
      </c>
      <c r="UQT77" t="s">
        <v>633</v>
      </c>
      <c r="UQU77" t="s">
        <v>229</v>
      </c>
      <c r="UQV77" t="s">
        <v>633</v>
      </c>
      <c r="UQW77" t="s">
        <v>229</v>
      </c>
      <c r="UQX77" t="s">
        <v>633</v>
      </c>
      <c r="UQY77" t="s">
        <v>229</v>
      </c>
      <c r="UQZ77" t="s">
        <v>633</v>
      </c>
      <c r="URA77" t="s">
        <v>229</v>
      </c>
      <c r="URB77" t="s">
        <v>633</v>
      </c>
      <c r="URC77" t="s">
        <v>229</v>
      </c>
      <c r="URD77" t="s">
        <v>633</v>
      </c>
      <c r="URE77" t="s">
        <v>229</v>
      </c>
      <c r="URF77" t="s">
        <v>633</v>
      </c>
      <c r="URG77" t="s">
        <v>229</v>
      </c>
      <c r="URH77" t="s">
        <v>633</v>
      </c>
      <c r="URI77" t="s">
        <v>229</v>
      </c>
      <c r="URJ77" t="s">
        <v>633</v>
      </c>
      <c r="URK77" t="s">
        <v>229</v>
      </c>
      <c r="URL77" t="s">
        <v>633</v>
      </c>
      <c r="URM77" t="s">
        <v>229</v>
      </c>
      <c r="URN77" t="s">
        <v>633</v>
      </c>
      <c r="URO77" t="s">
        <v>229</v>
      </c>
      <c r="URP77" t="s">
        <v>633</v>
      </c>
      <c r="URQ77" t="s">
        <v>229</v>
      </c>
      <c r="URR77" t="s">
        <v>633</v>
      </c>
      <c r="URS77" t="s">
        <v>229</v>
      </c>
      <c r="URT77" t="s">
        <v>633</v>
      </c>
      <c r="URU77" t="s">
        <v>229</v>
      </c>
      <c r="URV77" t="s">
        <v>633</v>
      </c>
      <c r="URW77" t="s">
        <v>229</v>
      </c>
      <c r="URX77" t="s">
        <v>633</v>
      </c>
      <c r="URY77" t="s">
        <v>229</v>
      </c>
      <c r="URZ77" t="s">
        <v>633</v>
      </c>
      <c r="USA77" t="s">
        <v>229</v>
      </c>
      <c r="USB77" t="s">
        <v>633</v>
      </c>
      <c r="USC77" t="s">
        <v>229</v>
      </c>
      <c r="USD77" t="s">
        <v>633</v>
      </c>
      <c r="USE77" t="s">
        <v>229</v>
      </c>
      <c r="USF77" t="s">
        <v>633</v>
      </c>
      <c r="USG77" t="s">
        <v>229</v>
      </c>
      <c r="USH77" t="s">
        <v>633</v>
      </c>
      <c r="USI77" t="s">
        <v>229</v>
      </c>
      <c r="USJ77" t="s">
        <v>633</v>
      </c>
      <c r="USK77" t="s">
        <v>229</v>
      </c>
      <c r="USL77" t="s">
        <v>633</v>
      </c>
      <c r="USM77" t="s">
        <v>229</v>
      </c>
      <c r="USN77" t="s">
        <v>633</v>
      </c>
      <c r="USO77" t="s">
        <v>229</v>
      </c>
      <c r="USP77" t="s">
        <v>633</v>
      </c>
      <c r="USQ77" t="s">
        <v>229</v>
      </c>
      <c r="USR77" t="s">
        <v>633</v>
      </c>
      <c r="USS77" t="s">
        <v>229</v>
      </c>
      <c r="UST77" t="s">
        <v>633</v>
      </c>
      <c r="USU77" t="s">
        <v>229</v>
      </c>
      <c r="USV77" t="s">
        <v>633</v>
      </c>
      <c r="USW77" t="s">
        <v>229</v>
      </c>
      <c r="USX77" t="s">
        <v>633</v>
      </c>
      <c r="USY77" t="s">
        <v>229</v>
      </c>
      <c r="USZ77" t="s">
        <v>633</v>
      </c>
      <c r="UTA77" t="s">
        <v>229</v>
      </c>
      <c r="UTB77" t="s">
        <v>633</v>
      </c>
      <c r="UTC77" t="s">
        <v>229</v>
      </c>
      <c r="UTD77" t="s">
        <v>633</v>
      </c>
      <c r="UTE77" t="s">
        <v>229</v>
      </c>
      <c r="UTF77" t="s">
        <v>633</v>
      </c>
      <c r="UTG77" t="s">
        <v>229</v>
      </c>
      <c r="UTH77" t="s">
        <v>633</v>
      </c>
      <c r="UTI77" t="s">
        <v>229</v>
      </c>
      <c r="UTJ77" t="s">
        <v>633</v>
      </c>
      <c r="UTK77" t="s">
        <v>229</v>
      </c>
      <c r="UTL77" t="s">
        <v>633</v>
      </c>
      <c r="UTM77" t="s">
        <v>229</v>
      </c>
      <c r="UTN77" t="s">
        <v>633</v>
      </c>
      <c r="UTO77" t="s">
        <v>229</v>
      </c>
      <c r="UTP77" t="s">
        <v>633</v>
      </c>
      <c r="UTQ77" t="s">
        <v>229</v>
      </c>
      <c r="UTR77" t="s">
        <v>633</v>
      </c>
      <c r="UTS77" t="s">
        <v>229</v>
      </c>
      <c r="UTT77" t="s">
        <v>633</v>
      </c>
      <c r="UTU77" t="s">
        <v>229</v>
      </c>
      <c r="UTV77" t="s">
        <v>633</v>
      </c>
      <c r="UTW77" t="s">
        <v>229</v>
      </c>
      <c r="UTX77" t="s">
        <v>633</v>
      </c>
      <c r="UTY77" t="s">
        <v>229</v>
      </c>
      <c r="UTZ77" t="s">
        <v>633</v>
      </c>
      <c r="UUA77" t="s">
        <v>229</v>
      </c>
      <c r="UUB77" t="s">
        <v>633</v>
      </c>
      <c r="UUC77" t="s">
        <v>229</v>
      </c>
      <c r="UUD77" t="s">
        <v>633</v>
      </c>
      <c r="UUE77" t="s">
        <v>229</v>
      </c>
      <c r="UUF77" t="s">
        <v>633</v>
      </c>
      <c r="UUG77" t="s">
        <v>229</v>
      </c>
      <c r="UUH77" t="s">
        <v>633</v>
      </c>
      <c r="UUI77" t="s">
        <v>229</v>
      </c>
      <c r="UUJ77" t="s">
        <v>633</v>
      </c>
      <c r="UUK77" t="s">
        <v>229</v>
      </c>
      <c r="UUL77" t="s">
        <v>633</v>
      </c>
      <c r="UUM77" t="s">
        <v>229</v>
      </c>
      <c r="UUN77" t="s">
        <v>633</v>
      </c>
      <c r="UUO77" t="s">
        <v>229</v>
      </c>
      <c r="UUP77" t="s">
        <v>633</v>
      </c>
      <c r="UUQ77" t="s">
        <v>229</v>
      </c>
      <c r="UUR77" t="s">
        <v>633</v>
      </c>
      <c r="UUS77" t="s">
        <v>229</v>
      </c>
      <c r="UUT77" t="s">
        <v>633</v>
      </c>
      <c r="UUU77" t="s">
        <v>229</v>
      </c>
      <c r="UUV77" t="s">
        <v>633</v>
      </c>
      <c r="UUW77" t="s">
        <v>229</v>
      </c>
      <c r="UUX77" t="s">
        <v>633</v>
      </c>
      <c r="UUY77" t="s">
        <v>229</v>
      </c>
      <c r="UUZ77" t="s">
        <v>633</v>
      </c>
      <c r="UVA77" t="s">
        <v>229</v>
      </c>
      <c r="UVB77" t="s">
        <v>633</v>
      </c>
      <c r="UVC77" t="s">
        <v>229</v>
      </c>
      <c r="UVD77" t="s">
        <v>633</v>
      </c>
      <c r="UVE77" t="s">
        <v>229</v>
      </c>
      <c r="UVF77" t="s">
        <v>633</v>
      </c>
      <c r="UVG77" t="s">
        <v>229</v>
      </c>
      <c r="UVH77" t="s">
        <v>633</v>
      </c>
      <c r="UVI77" t="s">
        <v>229</v>
      </c>
      <c r="UVJ77" t="s">
        <v>633</v>
      </c>
      <c r="UVK77" t="s">
        <v>229</v>
      </c>
      <c r="UVL77" t="s">
        <v>633</v>
      </c>
      <c r="UVM77" t="s">
        <v>229</v>
      </c>
      <c r="UVN77" t="s">
        <v>633</v>
      </c>
      <c r="UVO77" t="s">
        <v>229</v>
      </c>
      <c r="UVP77" t="s">
        <v>633</v>
      </c>
      <c r="UVQ77" t="s">
        <v>229</v>
      </c>
      <c r="UVR77" t="s">
        <v>633</v>
      </c>
      <c r="UVS77" t="s">
        <v>229</v>
      </c>
      <c r="UVT77" t="s">
        <v>633</v>
      </c>
      <c r="UVU77" t="s">
        <v>229</v>
      </c>
      <c r="UVV77" t="s">
        <v>633</v>
      </c>
      <c r="UVW77" t="s">
        <v>229</v>
      </c>
      <c r="UVX77" t="s">
        <v>633</v>
      </c>
      <c r="UVY77" t="s">
        <v>229</v>
      </c>
      <c r="UVZ77" t="s">
        <v>633</v>
      </c>
      <c r="UWA77" t="s">
        <v>229</v>
      </c>
      <c r="UWB77" t="s">
        <v>633</v>
      </c>
      <c r="UWC77" t="s">
        <v>229</v>
      </c>
      <c r="UWD77" t="s">
        <v>633</v>
      </c>
      <c r="UWE77" t="s">
        <v>229</v>
      </c>
      <c r="UWF77" t="s">
        <v>633</v>
      </c>
      <c r="UWG77" t="s">
        <v>229</v>
      </c>
      <c r="UWH77" t="s">
        <v>633</v>
      </c>
      <c r="UWI77" t="s">
        <v>229</v>
      </c>
      <c r="UWJ77" t="s">
        <v>633</v>
      </c>
      <c r="UWK77" t="s">
        <v>229</v>
      </c>
      <c r="UWL77" t="s">
        <v>633</v>
      </c>
      <c r="UWM77" t="s">
        <v>229</v>
      </c>
      <c r="UWN77" t="s">
        <v>633</v>
      </c>
      <c r="UWO77" t="s">
        <v>229</v>
      </c>
      <c r="UWP77" t="s">
        <v>633</v>
      </c>
      <c r="UWQ77" t="s">
        <v>229</v>
      </c>
      <c r="UWR77" t="s">
        <v>633</v>
      </c>
      <c r="UWS77" t="s">
        <v>229</v>
      </c>
      <c r="UWT77" t="s">
        <v>633</v>
      </c>
      <c r="UWU77" t="s">
        <v>229</v>
      </c>
      <c r="UWV77" t="s">
        <v>633</v>
      </c>
      <c r="UWW77" t="s">
        <v>229</v>
      </c>
      <c r="UWX77" t="s">
        <v>633</v>
      </c>
      <c r="UWY77" t="s">
        <v>229</v>
      </c>
      <c r="UWZ77" t="s">
        <v>633</v>
      </c>
      <c r="UXA77" t="s">
        <v>229</v>
      </c>
      <c r="UXB77" t="s">
        <v>633</v>
      </c>
      <c r="UXC77" t="s">
        <v>229</v>
      </c>
      <c r="UXD77" t="s">
        <v>633</v>
      </c>
      <c r="UXE77" t="s">
        <v>229</v>
      </c>
      <c r="UXF77" t="s">
        <v>633</v>
      </c>
      <c r="UXG77" t="s">
        <v>229</v>
      </c>
      <c r="UXH77" t="s">
        <v>633</v>
      </c>
      <c r="UXI77" t="s">
        <v>229</v>
      </c>
      <c r="UXJ77" t="s">
        <v>633</v>
      </c>
      <c r="UXK77" t="s">
        <v>229</v>
      </c>
      <c r="UXL77" t="s">
        <v>633</v>
      </c>
      <c r="UXM77" t="s">
        <v>229</v>
      </c>
      <c r="UXN77" t="s">
        <v>633</v>
      </c>
      <c r="UXO77" t="s">
        <v>229</v>
      </c>
      <c r="UXP77" t="s">
        <v>633</v>
      </c>
      <c r="UXQ77" t="s">
        <v>229</v>
      </c>
      <c r="UXR77" t="s">
        <v>633</v>
      </c>
      <c r="UXS77" t="s">
        <v>229</v>
      </c>
      <c r="UXT77" t="s">
        <v>633</v>
      </c>
      <c r="UXU77" t="s">
        <v>229</v>
      </c>
      <c r="UXV77" t="s">
        <v>633</v>
      </c>
      <c r="UXW77" t="s">
        <v>229</v>
      </c>
      <c r="UXX77" t="s">
        <v>633</v>
      </c>
      <c r="UXY77" t="s">
        <v>229</v>
      </c>
      <c r="UXZ77" t="s">
        <v>633</v>
      </c>
      <c r="UYA77" t="s">
        <v>229</v>
      </c>
      <c r="UYB77" t="s">
        <v>633</v>
      </c>
      <c r="UYC77" t="s">
        <v>229</v>
      </c>
      <c r="UYD77" t="s">
        <v>633</v>
      </c>
      <c r="UYE77" t="s">
        <v>229</v>
      </c>
      <c r="UYF77" t="s">
        <v>633</v>
      </c>
      <c r="UYG77" t="s">
        <v>229</v>
      </c>
      <c r="UYH77" t="s">
        <v>633</v>
      </c>
      <c r="UYI77" t="s">
        <v>229</v>
      </c>
      <c r="UYJ77" t="s">
        <v>633</v>
      </c>
      <c r="UYK77" t="s">
        <v>229</v>
      </c>
      <c r="UYL77" t="s">
        <v>633</v>
      </c>
      <c r="UYM77" t="s">
        <v>229</v>
      </c>
      <c r="UYN77" t="s">
        <v>633</v>
      </c>
      <c r="UYO77" t="s">
        <v>229</v>
      </c>
      <c r="UYP77" t="s">
        <v>633</v>
      </c>
      <c r="UYQ77" t="s">
        <v>229</v>
      </c>
      <c r="UYR77" t="s">
        <v>633</v>
      </c>
      <c r="UYS77" t="s">
        <v>229</v>
      </c>
      <c r="UYT77" t="s">
        <v>633</v>
      </c>
      <c r="UYU77" t="s">
        <v>229</v>
      </c>
      <c r="UYV77" t="s">
        <v>633</v>
      </c>
      <c r="UYW77" t="s">
        <v>229</v>
      </c>
      <c r="UYX77" t="s">
        <v>633</v>
      </c>
      <c r="UYY77" t="s">
        <v>229</v>
      </c>
      <c r="UYZ77" t="s">
        <v>633</v>
      </c>
      <c r="UZA77" t="s">
        <v>229</v>
      </c>
      <c r="UZB77" t="s">
        <v>633</v>
      </c>
      <c r="UZC77" t="s">
        <v>229</v>
      </c>
      <c r="UZD77" t="s">
        <v>633</v>
      </c>
      <c r="UZE77" t="s">
        <v>229</v>
      </c>
      <c r="UZF77" t="s">
        <v>633</v>
      </c>
      <c r="UZG77" t="s">
        <v>229</v>
      </c>
      <c r="UZH77" t="s">
        <v>633</v>
      </c>
      <c r="UZI77" t="s">
        <v>229</v>
      </c>
      <c r="UZJ77" t="s">
        <v>633</v>
      </c>
      <c r="UZK77" t="s">
        <v>229</v>
      </c>
      <c r="UZL77" t="s">
        <v>633</v>
      </c>
      <c r="UZM77" t="s">
        <v>229</v>
      </c>
      <c r="UZN77" t="s">
        <v>633</v>
      </c>
      <c r="UZO77" t="s">
        <v>229</v>
      </c>
      <c r="UZP77" t="s">
        <v>633</v>
      </c>
      <c r="UZQ77" t="s">
        <v>229</v>
      </c>
      <c r="UZR77" t="s">
        <v>633</v>
      </c>
      <c r="UZS77" t="s">
        <v>229</v>
      </c>
      <c r="UZT77" t="s">
        <v>633</v>
      </c>
      <c r="UZU77" t="s">
        <v>229</v>
      </c>
      <c r="UZV77" t="s">
        <v>633</v>
      </c>
      <c r="UZW77" t="s">
        <v>229</v>
      </c>
      <c r="UZX77" t="s">
        <v>633</v>
      </c>
      <c r="UZY77" t="s">
        <v>229</v>
      </c>
      <c r="UZZ77" t="s">
        <v>633</v>
      </c>
      <c r="VAA77" t="s">
        <v>229</v>
      </c>
      <c r="VAB77" t="s">
        <v>633</v>
      </c>
      <c r="VAC77" t="s">
        <v>229</v>
      </c>
      <c r="VAD77" t="s">
        <v>633</v>
      </c>
      <c r="VAE77" t="s">
        <v>229</v>
      </c>
      <c r="VAF77" t="s">
        <v>633</v>
      </c>
      <c r="VAG77" t="s">
        <v>229</v>
      </c>
      <c r="VAH77" t="s">
        <v>633</v>
      </c>
      <c r="VAI77" t="s">
        <v>229</v>
      </c>
      <c r="VAJ77" t="s">
        <v>633</v>
      </c>
      <c r="VAK77" t="s">
        <v>229</v>
      </c>
      <c r="VAL77" t="s">
        <v>633</v>
      </c>
      <c r="VAM77" t="s">
        <v>229</v>
      </c>
      <c r="VAN77" t="s">
        <v>633</v>
      </c>
      <c r="VAO77" t="s">
        <v>229</v>
      </c>
      <c r="VAP77" t="s">
        <v>633</v>
      </c>
      <c r="VAQ77" t="s">
        <v>229</v>
      </c>
      <c r="VAR77" t="s">
        <v>633</v>
      </c>
      <c r="VAS77" t="s">
        <v>229</v>
      </c>
      <c r="VAT77" t="s">
        <v>633</v>
      </c>
      <c r="VAU77" t="s">
        <v>229</v>
      </c>
      <c r="VAV77" t="s">
        <v>633</v>
      </c>
      <c r="VAW77" t="s">
        <v>229</v>
      </c>
      <c r="VAX77" t="s">
        <v>633</v>
      </c>
      <c r="VAY77" t="s">
        <v>229</v>
      </c>
      <c r="VAZ77" t="s">
        <v>633</v>
      </c>
      <c r="VBA77" t="s">
        <v>229</v>
      </c>
      <c r="VBB77" t="s">
        <v>633</v>
      </c>
      <c r="VBC77" t="s">
        <v>229</v>
      </c>
      <c r="VBD77" t="s">
        <v>633</v>
      </c>
      <c r="VBE77" t="s">
        <v>229</v>
      </c>
      <c r="VBF77" t="s">
        <v>633</v>
      </c>
      <c r="VBG77" t="s">
        <v>229</v>
      </c>
      <c r="VBH77" t="s">
        <v>633</v>
      </c>
      <c r="VBI77" t="s">
        <v>229</v>
      </c>
      <c r="VBJ77" t="s">
        <v>633</v>
      </c>
      <c r="VBK77" t="s">
        <v>229</v>
      </c>
      <c r="VBL77" t="s">
        <v>633</v>
      </c>
      <c r="VBM77" t="s">
        <v>229</v>
      </c>
      <c r="VBN77" t="s">
        <v>633</v>
      </c>
      <c r="VBO77" t="s">
        <v>229</v>
      </c>
      <c r="VBP77" t="s">
        <v>633</v>
      </c>
      <c r="VBQ77" t="s">
        <v>229</v>
      </c>
      <c r="VBR77" t="s">
        <v>633</v>
      </c>
      <c r="VBS77" t="s">
        <v>229</v>
      </c>
      <c r="VBT77" t="s">
        <v>633</v>
      </c>
      <c r="VBU77" t="s">
        <v>229</v>
      </c>
      <c r="VBV77" t="s">
        <v>633</v>
      </c>
      <c r="VBW77" t="s">
        <v>229</v>
      </c>
      <c r="VBX77" t="s">
        <v>633</v>
      </c>
      <c r="VBY77" t="s">
        <v>229</v>
      </c>
      <c r="VBZ77" t="s">
        <v>633</v>
      </c>
      <c r="VCA77" t="s">
        <v>229</v>
      </c>
      <c r="VCB77" t="s">
        <v>633</v>
      </c>
      <c r="VCC77" t="s">
        <v>229</v>
      </c>
      <c r="VCD77" t="s">
        <v>633</v>
      </c>
      <c r="VCE77" t="s">
        <v>229</v>
      </c>
      <c r="VCF77" t="s">
        <v>633</v>
      </c>
      <c r="VCG77" t="s">
        <v>229</v>
      </c>
      <c r="VCH77" t="s">
        <v>633</v>
      </c>
      <c r="VCI77" t="s">
        <v>229</v>
      </c>
      <c r="VCJ77" t="s">
        <v>633</v>
      </c>
      <c r="VCK77" t="s">
        <v>229</v>
      </c>
      <c r="VCL77" t="s">
        <v>633</v>
      </c>
      <c r="VCM77" t="s">
        <v>229</v>
      </c>
      <c r="VCN77" t="s">
        <v>633</v>
      </c>
      <c r="VCO77" t="s">
        <v>229</v>
      </c>
      <c r="VCP77" t="s">
        <v>633</v>
      </c>
      <c r="VCQ77" t="s">
        <v>229</v>
      </c>
      <c r="VCR77" t="s">
        <v>633</v>
      </c>
      <c r="VCS77" t="s">
        <v>229</v>
      </c>
      <c r="VCT77" t="s">
        <v>633</v>
      </c>
      <c r="VCU77" t="s">
        <v>229</v>
      </c>
      <c r="VCV77" t="s">
        <v>633</v>
      </c>
      <c r="VCW77" t="s">
        <v>229</v>
      </c>
      <c r="VCX77" t="s">
        <v>633</v>
      </c>
      <c r="VCY77" t="s">
        <v>229</v>
      </c>
      <c r="VCZ77" t="s">
        <v>633</v>
      </c>
      <c r="VDA77" t="s">
        <v>229</v>
      </c>
      <c r="VDB77" t="s">
        <v>633</v>
      </c>
      <c r="VDC77" t="s">
        <v>229</v>
      </c>
      <c r="VDD77" t="s">
        <v>633</v>
      </c>
      <c r="VDE77" t="s">
        <v>229</v>
      </c>
      <c r="VDF77" t="s">
        <v>633</v>
      </c>
      <c r="VDG77" t="s">
        <v>229</v>
      </c>
      <c r="VDH77" t="s">
        <v>633</v>
      </c>
      <c r="VDI77" t="s">
        <v>229</v>
      </c>
      <c r="VDJ77" t="s">
        <v>633</v>
      </c>
      <c r="VDK77" t="s">
        <v>229</v>
      </c>
      <c r="VDL77" t="s">
        <v>633</v>
      </c>
      <c r="VDM77" t="s">
        <v>229</v>
      </c>
      <c r="VDN77" t="s">
        <v>633</v>
      </c>
      <c r="VDO77" t="s">
        <v>229</v>
      </c>
      <c r="VDP77" t="s">
        <v>633</v>
      </c>
      <c r="VDQ77" t="s">
        <v>229</v>
      </c>
      <c r="VDR77" t="s">
        <v>633</v>
      </c>
      <c r="VDS77" t="s">
        <v>229</v>
      </c>
      <c r="VDT77" t="s">
        <v>633</v>
      </c>
      <c r="VDU77" t="s">
        <v>229</v>
      </c>
      <c r="VDV77" t="s">
        <v>633</v>
      </c>
      <c r="VDW77" t="s">
        <v>229</v>
      </c>
      <c r="VDX77" t="s">
        <v>633</v>
      </c>
      <c r="VDY77" t="s">
        <v>229</v>
      </c>
      <c r="VDZ77" t="s">
        <v>633</v>
      </c>
      <c r="VEA77" t="s">
        <v>229</v>
      </c>
      <c r="VEB77" t="s">
        <v>633</v>
      </c>
      <c r="VEC77" t="s">
        <v>229</v>
      </c>
      <c r="VED77" t="s">
        <v>633</v>
      </c>
      <c r="VEE77" t="s">
        <v>229</v>
      </c>
      <c r="VEF77" t="s">
        <v>633</v>
      </c>
      <c r="VEG77" t="s">
        <v>229</v>
      </c>
      <c r="VEH77" t="s">
        <v>633</v>
      </c>
      <c r="VEI77" t="s">
        <v>229</v>
      </c>
      <c r="VEJ77" t="s">
        <v>633</v>
      </c>
      <c r="VEK77" t="s">
        <v>229</v>
      </c>
      <c r="VEL77" t="s">
        <v>633</v>
      </c>
      <c r="VEM77" t="s">
        <v>229</v>
      </c>
      <c r="VEN77" t="s">
        <v>633</v>
      </c>
      <c r="VEO77" t="s">
        <v>229</v>
      </c>
      <c r="VEP77" t="s">
        <v>633</v>
      </c>
      <c r="VEQ77" t="s">
        <v>229</v>
      </c>
      <c r="VER77" t="s">
        <v>633</v>
      </c>
      <c r="VES77" t="s">
        <v>229</v>
      </c>
      <c r="VET77" t="s">
        <v>633</v>
      </c>
      <c r="VEU77" t="s">
        <v>229</v>
      </c>
      <c r="VEV77" t="s">
        <v>633</v>
      </c>
      <c r="VEW77" t="s">
        <v>229</v>
      </c>
      <c r="VEX77" t="s">
        <v>633</v>
      </c>
      <c r="VEY77" t="s">
        <v>229</v>
      </c>
      <c r="VEZ77" t="s">
        <v>633</v>
      </c>
      <c r="VFA77" t="s">
        <v>229</v>
      </c>
      <c r="VFB77" t="s">
        <v>633</v>
      </c>
      <c r="VFC77" t="s">
        <v>229</v>
      </c>
      <c r="VFD77" t="s">
        <v>633</v>
      </c>
      <c r="VFE77" t="s">
        <v>229</v>
      </c>
      <c r="VFF77" t="s">
        <v>633</v>
      </c>
      <c r="VFG77" t="s">
        <v>229</v>
      </c>
      <c r="VFH77" t="s">
        <v>633</v>
      </c>
      <c r="VFI77" t="s">
        <v>229</v>
      </c>
      <c r="VFJ77" t="s">
        <v>633</v>
      </c>
      <c r="VFK77" t="s">
        <v>229</v>
      </c>
      <c r="VFL77" t="s">
        <v>633</v>
      </c>
      <c r="VFM77" t="s">
        <v>229</v>
      </c>
      <c r="VFN77" t="s">
        <v>633</v>
      </c>
      <c r="VFO77" t="s">
        <v>229</v>
      </c>
      <c r="VFP77" t="s">
        <v>633</v>
      </c>
      <c r="VFQ77" t="s">
        <v>229</v>
      </c>
      <c r="VFR77" t="s">
        <v>633</v>
      </c>
      <c r="VFS77" t="s">
        <v>229</v>
      </c>
      <c r="VFT77" t="s">
        <v>633</v>
      </c>
      <c r="VFU77" t="s">
        <v>229</v>
      </c>
      <c r="VFV77" t="s">
        <v>633</v>
      </c>
      <c r="VFW77" t="s">
        <v>229</v>
      </c>
      <c r="VFX77" t="s">
        <v>633</v>
      </c>
      <c r="VFY77" t="s">
        <v>229</v>
      </c>
      <c r="VFZ77" t="s">
        <v>633</v>
      </c>
      <c r="VGA77" t="s">
        <v>229</v>
      </c>
      <c r="VGB77" t="s">
        <v>633</v>
      </c>
      <c r="VGC77" t="s">
        <v>229</v>
      </c>
      <c r="VGD77" t="s">
        <v>633</v>
      </c>
      <c r="VGE77" t="s">
        <v>229</v>
      </c>
      <c r="VGF77" t="s">
        <v>633</v>
      </c>
      <c r="VGG77" t="s">
        <v>229</v>
      </c>
      <c r="VGH77" t="s">
        <v>633</v>
      </c>
      <c r="VGI77" t="s">
        <v>229</v>
      </c>
      <c r="VGJ77" t="s">
        <v>633</v>
      </c>
      <c r="VGK77" t="s">
        <v>229</v>
      </c>
      <c r="VGL77" t="s">
        <v>633</v>
      </c>
      <c r="VGM77" t="s">
        <v>229</v>
      </c>
      <c r="VGN77" t="s">
        <v>633</v>
      </c>
      <c r="VGO77" t="s">
        <v>229</v>
      </c>
      <c r="VGP77" t="s">
        <v>633</v>
      </c>
      <c r="VGQ77" t="s">
        <v>229</v>
      </c>
      <c r="VGR77" t="s">
        <v>633</v>
      </c>
      <c r="VGS77" t="s">
        <v>229</v>
      </c>
      <c r="VGT77" t="s">
        <v>633</v>
      </c>
      <c r="VGU77" t="s">
        <v>229</v>
      </c>
      <c r="VGV77" t="s">
        <v>633</v>
      </c>
      <c r="VGW77" t="s">
        <v>229</v>
      </c>
      <c r="VGX77" t="s">
        <v>633</v>
      </c>
      <c r="VGY77" t="s">
        <v>229</v>
      </c>
      <c r="VGZ77" t="s">
        <v>633</v>
      </c>
      <c r="VHA77" t="s">
        <v>229</v>
      </c>
      <c r="VHB77" t="s">
        <v>633</v>
      </c>
      <c r="VHC77" t="s">
        <v>229</v>
      </c>
      <c r="VHD77" t="s">
        <v>633</v>
      </c>
      <c r="VHE77" t="s">
        <v>229</v>
      </c>
      <c r="VHF77" t="s">
        <v>633</v>
      </c>
      <c r="VHG77" t="s">
        <v>229</v>
      </c>
      <c r="VHH77" t="s">
        <v>633</v>
      </c>
      <c r="VHI77" t="s">
        <v>229</v>
      </c>
      <c r="VHJ77" t="s">
        <v>633</v>
      </c>
      <c r="VHK77" t="s">
        <v>229</v>
      </c>
      <c r="VHL77" t="s">
        <v>633</v>
      </c>
      <c r="VHM77" t="s">
        <v>229</v>
      </c>
      <c r="VHN77" t="s">
        <v>633</v>
      </c>
      <c r="VHO77" t="s">
        <v>229</v>
      </c>
      <c r="VHP77" t="s">
        <v>633</v>
      </c>
      <c r="VHQ77" t="s">
        <v>229</v>
      </c>
      <c r="VHR77" t="s">
        <v>633</v>
      </c>
      <c r="VHS77" t="s">
        <v>229</v>
      </c>
      <c r="VHT77" t="s">
        <v>633</v>
      </c>
      <c r="VHU77" t="s">
        <v>229</v>
      </c>
      <c r="VHV77" t="s">
        <v>633</v>
      </c>
      <c r="VHW77" t="s">
        <v>229</v>
      </c>
      <c r="VHX77" t="s">
        <v>633</v>
      </c>
      <c r="VHY77" t="s">
        <v>229</v>
      </c>
      <c r="VHZ77" t="s">
        <v>633</v>
      </c>
      <c r="VIA77" t="s">
        <v>229</v>
      </c>
      <c r="VIB77" t="s">
        <v>633</v>
      </c>
      <c r="VIC77" t="s">
        <v>229</v>
      </c>
      <c r="VID77" t="s">
        <v>633</v>
      </c>
      <c r="VIE77" t="s">
        <v>229</v>
      </c>
      <c r="VIF77" t="s">
        <v>633</v>
      </c>
      <c r="VIG77" t="s">
        <v>229</v>
      </c>
      <c r="VIH77" t="s">
        <v>633</v>
      </c>
      <c r="VII77" t="s">
        <v>229</v>
      </c>
      <c r="VIJ77" t="s">
        <v>633</v>
      </c>
      <c r="VIK77" t="s">
        <v>229</v>
      </c>
      <c r="VIL77" t="s">
        <v>633</v>
      </c>
      <c r="VIM77" t="s">
        <v>229</v>
      </c>
      <c r="VIN77" t="s">
        <v>633</v>
      </c>
      <c r="VIO77" t="s">
        <v>229</v>
      </c>
      <c r="VIP77" t="s">
        <v>633</v>
      </c>
      <c r="VIQ77" t="s">
        <v>229</v>
      </c>
      <c r="VIR77" t="s">
        <v>633</v>
      </c>
      <c r="VIS77" t="s">
        <v>229</v>
      </c>
      <c r="VIT77" t="s">
        <v>633</v>
      </c>
      <c r="VIU77" t="s">
        <v>229</v>
      </c>
      <c r="VIV77" t="s">
        <v>633</v>
      </c>
      <c r="VIW77" t="s">
        <v>229</v>
      </c>
      <c r="VIX77" t="s">
        <v>633</v>
      </c>
      <c r="VIY77" t="s">
        <v>229</v>
      </c>
      <c r="VIZ77" t="s">
        <v>633</v>
      </c>
      <c r="VJA77" t="s">
        <v>229</v>
      </c>
      <c r="VJB77" t="s">
        <v>633</v>
      </c>
      <c r="VJC77" t="s">
        <v>229</v>
      </c>
      <c r="VJD77" t="s">
        <v>633</v>
      </c>
      <c r="VJE77" t="s">
        <v>229</v>
      </c>
      <c r="VJF77" t="s">
        <v>633</v>
      </c>
      <c r="VJG77" t="s">
        <v>229</v>
      </c>
      <c r="VJH77" t="s">
        <v>633</v>
      </c>
      <c r="VJI77" t="s">
        <v>229</v>
      </c>
      <c r="VJJ77" t="s">
        <v>633</v>
      </c>
      <c r="VJK77" t="s">
        <v>229</v>
      </c>
      <c r="VJL77" t="s">
        <v>633</v>
      </c>
      <c r="VJM77" t="s">
        <v>229</v>
      </c>
      <c r="VJN77" t="s">
        <v>633</v>
      </c>
      <c r="VJO77" t="s">
        <v>229</v>
      </c>
      <c r="VJP77" t="s">
        <v>633</v>
      </c>
      <c r="VJQ77" t="s">
        <v>229</v>
      </c>
      <c r="VJR77" t="s">
        <v>633</v>
      </c>
      <c r="VJS77" t="s">
        <v>229</v>
      </c>
      <c r="VJT77" t="s">
        <v>633</v>
      </c>
      <c r="VJU77" t="s">
        <v>229</v>
      </c>
      <c r="VJV77" t="s">
        <v>633</v>
      </c>
      <c r="VJW77" t="s">
        <v>229</v>
      </c>
      <c r="VJX77" t="s">
        <v>633</v>
      </c>
      <c r="VJY77" t="s">
        <v>229</v>
      </c>
      <c r="VJZ77" t="s">
        <v>633</v>
      </c>
      <c r="VKA77" t="s">
        <v>229</v>
      </c>
      <c r="VKB77" t="s">
        <v>633</v>
      </c>
      <c r="VKC77" t="s">
        <v>229</v>
      </c>
      <c r="VKD77" t="s">
        <v>633</v>
      </c>
      <c r="VKE77" t="s">
        <v>229</v>
      </c>
      <c r="VKF77" t="s">
        <v>633</v>
      </c>
      <c r="VKG77" t="s">
        <v>229</v>
      </c>
      <c r="VKH77" t="s">
        <v>633</v>
      </c>
      <c r="VKI77" t="s">
        <v>229</v>
      </c>
      <c r="VKJ77" t="s">
        <v>633</v>
      </c>
      <c r="VKK77" t="s">
        <v>229</v>
      </c>
      <c r="VKL77" t="s">
        <v>633</v>
      </c>
      <c r="VKM77" t="s">
        <v>229</v>
      </c>
      <c r="VKN77" t="s">
        <v>633</v>
      </c>
      <c r="VKO77" t="s">
        <v>229</v>
      </c>
      <c r="VKP77" t="s">
        <v>633</v>
      </c>
      <c r="VKQ77" t="s">
        <v>229</v>
      </c>
      <c r="VKR77" t="s">
        <v>633</v>
      </c>
      <c r="VKS77" t="s">
        <v>229</v>
      </c>
      <c r="VKT77" t="s">
        <v>633</v>
      </c>
      <c r="VKU77" t="s">
        <v>229</v>
      </c>
      <c r="VKV77" t="s">
        <v>633</v>
      </c>
      <c r="VKW77" t="s">
        <v>229</v>
      </c>
      <c r="VKX77" t="s">
        <v>633</v>
      </c>
      <c r="VKY77" t="s">
        <v>229</v>
      </c>
      <c r="VKZ77" t="s">
        <v>633</v>
      </c>
      <c r="VLA77" t="s">
        <v>229</v>
      </c>
      <c r="VLB77" t="s">
        <v>633</v>
      </c>
      <c r="VLC77" t="s">
        <v>229</v>
      </c>
      <c r="VLD77" t="s">
        <v>633</v>
      </c>
      <c r="VLE77" t="s">
        <v>229</v>
      </c>
      <c r="VLF77" t="s">
        <v>633</v>
      </c>
      <c r="VLG77" t="s">
        <v>229</v>
      </c>
      <c r="VLH77" t="s">
        <v>633</v>
      </c>
      <c r="VLI77" t="s">
        <v>229</v>
      </c>
      <c r="VLJ77" t="s">
        <v>633</v>
      </c>
      <c r="VLK77" t="s">
        <v>229</v>
      </c>
      <c r="VLL77" t="s">
        <v>633</v>
      </c>
      <c r="VLM77" t="s">
        <v>229</v>
      </c>
      <c r="VLN77" t="s">
        <v>633</v>
      </c>
      <c r="VLO77" t="s">
        <v>229</v>
      </c>
      <c r="VLP77" t="s">
        <v>633</v>
      </c>
      <c r="VLQ77" t="s">
        <v>229</v>
      </c>
      <c r="VLR77" t="s">
        <v>633</v>
      </c>
      <c r="VLS77" t="s">
        <v>229</v>
      </c>
      <c r="VLT77" t="s">
        <v>633</v>
      </c>
      <c r="VLU77" t="s">
        <v>229</v>
      </c>
      <c r="VLV77" t="s">
        <v>633</v>
      </c>
      <c r="VLW77" t="s">
        <v>229</v>
      </c>
      <c r="VLX77" t="s">
        <v>633</v>
      </c>
      <c r="VLY77" t="s">
        <v>229</v>
      </c>
      <c r="VLZ77" t="s">
        <v>633</v>
      </c>
      <c r="VMA77" t="s">
        <v>229</v>
      </c>
      <c r="VMB77" t="s">
        <v>633</v>
      </c>
      <c r="VMC77" t="s">
        <v>229</v>
      </c>
      <c r="VMD77" t="s">
        <v>633</v>
      </c>
      <c r="VME77" t="s">
        <v>229</v>
      </c>
      <c r="VMF77" t="s">
        <v>633</v>
      </c>
      <c r="VMG77" t="s">
        <v>229</v>
      </c>
      <c r="VMH77" t="s">
        <v>633</v>
      </c>
      <c r="VMI77" t="s">
        <v>229</v>
      </c>
      <c r="VMJ77" t="s">
        <v>633</v>
      </c>
      <c r="VMK77" t="s">
        <v>229</v>
      </c>
      <c r="VML77" t="s">
        <v>633</v>
      </c>
      <c r="VMM77" t="s">
        <v>229</v>
      </c>
      <c r="VMN77" t="s">
        <v>633</v>
      </c>
      <c r="VMO77" t="s">
        <v>229</v>
      </c>
      <c r="VMP77" t="s">
        <v>633</v>
      </c>
      <c r="VMQ77" t="s">
        <v>229</v>
      </c>
      <c r="VMR77" t="s">
        <v>633</v>
      </c>
      <c r="VMS77" t="s">
        <v>229</v>
      </c>
      <c r="VMT77" t="s">
        <v>633</v>
      </c>
      <c r="VMU77" t="s">
        <v>229</v>
      </c>
      <c r="VMV77" t="s">
        <v>633</v>
      </c>
      <c r="VMW77" t="s">
        <v>229</v>
      </c>
      <c r="VMX77" t="s">
        <v>633</v>
      </c>
      <c r="VMY77" t="s">
        <v>229</v>
      </c>
      <c r="VMZ77" t="s">
        <v>633</v>
      </c>
      <c r="VNA77" t="s">
        <v>229</v>
      </c>
      <c r="VNB77" t="s">
        <v>633</v>
      </c>
      <c r="VNC77" t="s">
        <v>229</v>
      </c>
      <c r="VND77" t="s">
        <v>633</v>
      </c>
      <c r="VNE77" t="s">
        <v>229</v>
      </c>
      <c r="VNF77" t="s">
        <v>633</v>
      </c>
      <c r="VNG77" t="s">
        <v>229</v>
      </c>
      <c r="VNH77" t="s">
        <v>633</v>
      </c>
      <c r="VNI77" t="s">
        <v>229</v>
      </c>
      <c r="VNJ77" t="s">
        <v>633</v>
      </c>
      <c r="VNK77" t="s">
        <v>229</v>
      </c>
      <c r="VNL77" t="s">
        <v>633</v>
      </c>
      <c r="VNM77" t="s">
        <v>229</v>
      </c>
      <c r="VNN77" t="s">
        <v>633</v>
      </c>
      <c r="VNO77" t="s">
        <v>229</v>
      </c>
      <c r="VNP77" t="s">
        <v>633</v>
      </c>
      <c r="VNQ77" t="s">
        <v>229</v>
      </c>
      <c r="VNR77" t="s">
        <v>633</v>
      </c>
      <c r="VNS77" t="s">
        <v>229</v>
      </c>
      <c r="VNT77" t="s">
        <v>633</v>
      </c>
      <c r="VNU77" t="s">
        <v>229</v>
      </c>
      <c r="VNV77" t="s">
        <v>633</v>
      </c>
      <c r="VNW77" t="s">
        <v>229</v>
      </c>
      <c r="VNX77" t="s">
        <v>633</v>
      </c>
      <c r="VNY77" t="s">
        <v>229</v>
      </c>
      <c r="VNZ77" t="s">
        <v>633</v>
      </c>
      <c r="VOA77" t="s">
        <v>229</v>
      </c>
      <c r="VOB77" t="s">
        <v>633</v>
      </c>
      <c r="VOC77" t="s">
        <v>229</v>
      </c>
      <c r="VOD77" t="s">
        <v>633</v>
      </c>
      <c r="VOE77" t="s">
        <v>229</v>
      </c>
      <c r="VOF77" t="s">
        <v>633</v>
      </c>
      <c r="VOG77" t="s">
        <v>229</v>
      </c>
      <c r="VOH77" t="s">
        <v>633</v>
      </c>
      <c r="VOI77" t="s">
        <v>229</v>
      </c>
      <c r="VOJ77" t="s">
        <v>633</v>
      </c>
      <c r="VOK77" t="s">
        <v>229</v>
      </c>
      <c r="VOL77" t="s">
        <v>633</v>
      </c>
      <c r="VOM77" t="s">
        <v>229</v>
      </c>
      <c r="VON77" t="s">
        <v>633</v>
      </c>
      <c r="VOO77" t="s">
        <v>229</v>
      </c>
      <c r="VOP77" t="s">
        <v>633</v>
      </c>
      <c r="VOQ77" t="s">
        <v>229</v>
      </c>
      <c r="VOR77" t="s">
        <v>633</v>
      </c>
      <c r="VOS77" t="s">
        <v>229</v>
      </c>
      <c r="VOT77" t="s">
        <v>633</v>
      </c>
      <c r="VOU77" t="s">
        <v>229</v>
      </c>
      <c r="VOV77" t="s">
        <v>633</v>
      </c>
      <c r="VOW77" t="s">
        <v>229</v>
      </c>
      <c r="VOX77" t="s">
        <v>633</v>
      </c>
      <c r="VOY77" t="s">
        <v>229</v>
      </c>
      <c r="VOZ77" t="s">
        <v>633</v>
      </c>
      <c r="VPA77" t="s">
        <v>229</v>
      </c>
      <c r="VPB77" t="s">
        <v>633</v>
      </c>
      <c r="VPC77" t="s">
        <v>229</v>
      </c>
      <c r="VPD77" t="s">
        <v>633</v>
      </c>
      <c r="VPE77" t="s">
        <v>229</v>
      </c>
      <c r="VPF77" t="s">
        <v>633</v>
      </c>
      <c r="VPG77" t="s">
        <v>229</v>
      </c>
      <c r="VPH77" t="s">
        <v>633</v>
      </c>
      <c r="VPI77" t="s">
        <v>229</v>
      </c>
      <c r="VPJ77" t="s">
        <v>633</v>
      </c>
      <c r="VPK77" t="s">
        <v>229</v>
      </c>
      <c r="VPL77" t="s">
        <v>633</v>
      </c>
      <c r="VPM77" t="s">
        <v>229</v>
      </c>
      <c r="VPN77" t="s">
        <v>633</v>
      </c>
      <c r="VPO77" t="s">
        <v>229</v>
      </c>
      <c r="VPP77" t="s">
        <v>633</v>
      </c>
      <c r="VPQ77" t="s">
        <v>229</v>
      </c>
      <c r="VPR77" t="s">
        <v>633</v>
      </c>
      <c r="VPS77" t="s">
        <v>229</v>
      </c>
      <c r="VPT77" t="s">
        <v>633</v>
      </c>
      <c r="VPU77" t="s">
        <v>229</v>
      </c>
      <c r="VPV77" t="s">
        <v>633</v>
      </c>
      <c r="VPW77" t="s">
        <v>229</v>
      </c>
      <c r="VPX77" t="s">
        <v>633</v>
      </c>
      <c r="VPY77" t="s">
        <v>229</v>
      </c>
      <c r="VPZ77" t="s">
        <v>633</v>
      </c>
      <c r="VQA77" t="s">
        <v>229</v>
      </c>
      <c r="VQB77" t="s">
        <v>633</v>
      </c>
      <c r="VQC77" t="s">
        <v>229</v>
      </c>
      <c r="VQD77" t="s">
        <v>633</v>
      </c>
      <c r="VQE77" t="s">
        <v>229</v>
      </c>
      <c r="VQF77" t="s">
        <v>633</v>
      </c>
      <c r="VQG77" t="s">
        <v>229</v>
      </c>
      <c r="VQH77" t="s">
        <v>633</v>
      </c>
      <c r="VQI77" t="s">
        <v>229</v>
      </c>
      <c r="VQJ77" t="s">
        <v>633</v>
      </c>
      <c r="VQK77" t="s">
        <v>229</v>
      </c>
      <c r="VQL77" t="s">
        <v>633</v>
      </c>
      <c r="VQM77" t="s">
        <v>229</v>
      </c>
      <c r="VQN77" t="s">
        <v>633</v>
      </c>
      <c r="VQO77" t="s">
        <v>229</v>
      </c>
      <c r="VQP77" t="s">
        <v>633</v>
      </c>
      <c r="VQQ77" t="s">
        <v>229</v>
      </c>
      <c r="VQR77" t="s">
        <v>633</v>
      </c>
      <c r="VQS77" t="s">
        <v>229</v>
      </c>
      <c r="VQT77" t="s">
        <v>633</v>
      </c>
      <c r="VQU77" t="s">
        <v>229</v>
      </c>
      <c r="VQV77" t="s">
        <v>633</v>
      </c>
      <c r="VQW77" t="s">
        <v>229</v>
      </c>
      <c r="VQX77" t="s">
        <v>633</v>
      </c>
      <c r="VQY77" t="s">
        <v>229</v>
      </c>
      <c r="VQZ77" t="s">
        <v>633</v>
      </c>
      <c r="VRA77" t="s">
        <v>229</v>
      </c>
      <c r="VRB77" t="s">
        <v>633</v>
      </c>
      <c r="VRC77" t="s">
        <v>229</v>
      </c>
      <c r="VRD77" t="s">
        <v>633</v>
      </c>
      <c r="VRE77" t="s">
        <v>229</v>
      </c>
      <c r="VRF77" t="s">
        <v>633</v>
      </c>
      <c r="VRG77" t="s">
        <v>229</v>
      </c>
      <c r="VRH77" t="s">
        <v>633</v>
      </c>
      <c r="VRI77" t="s">
        <v>229</v>
      </c>
      <c r="VRJ77" t="s">
        <v>633</v>
      </c>
      <c r="VRK77" t="s">
        <v>229</v>
      </c>
      <c r="VRL77" t="s">
        <v>633</v>
      </c>
      <c r="VRM77" t="s">
        <v>229</v>
      </c>
      <c r="VRN77" t="s">
        <v>633</v>
      </c>
      <c r="VRO77" t="s">
        <v>229</v>
      </c>
      <c r="VRP77" t="s">
        <v>633</v>
      </c>
      <c r="VRQ77" t="s">
        <v>229</v>
      </c>
      <c r="VRR77" t="s">
        <v>633</v>
      </c>
      <c r="VRS77" t="s">
        <v>229</v>
      </c>
      <c r="VRT77" t="s">
        <v>633</v>
      </c>
      <c r="VRU77" t="s">
        <v>229</v>
      </c>
      <c r="VRV77" t="s">
        <v>633</v>
      </c>
      <c r="VRW77" t="s">
        <v>229</v>
      </c>
      <c r="VRX77" t="s">
        <v>633</v>
      </c>
      <c r="VRY77" t="s">
        <v>229</v>
      </c>
      <c r="VRZ77" t="s">
        <v>633</v>
      </c>
      <c r="VSA77" t="s">
        <v>229</v>
      </c>
      <c r="VSB77" t="s">
        <v>633</v>
      </c>
      <c r="VSC77" t="s">
        <v>229</v>
      </c>
      <c r="VSD77" t="s">
        <v>633</v>
      </c>
      <c r="VSE77" t="s">
        <v>229</v>
      </c>
      <c r="VSF77" t="s">
        <v>633</v>
      </c>
      <c r="VSG77" t="s">
        <v>229</v>
      </c>
      <c r="VSH77" t="s">
        <v>633</v>
      </c>
      <c r="VSI77" t="s">
        <v>229</v>
      </c>
      <c r="VSJ77" t="s">
        <v>633</v>
      </c>
      <c r="VSK77" t="s">
        <v>229</v>
      </c>
      <c r="VSL77" t="s">
        <v>633</v>
      </c>
      <c r="VSM77" t="s">
        <v>229</v>
      </c>
      <c r="VSN77" t="s">
        <v>633</v>
      </c>
      <c r="VSO77" t="s">
        <v>229</v>
      </c>
      <c r="VSP77" t="s">
        <v>633</v>
      </c>
      <c r="VSQ77" t="s">
        <v>229</v>
      </c>
      <c r="VSR77" t="s">
        <v>633</v>
      </c>
      <c r="VSS77" t="s">
        <v>229</v>
      </c>
      <c r="VST77" t="s">
        <v>633</v>
      </c>
      <c r="VSU77" t="s">
        <v>229</v>
      </c>
      <c r="VSV77" t="s">
        <v>633</v>
      </c>
      <c r="VSW77" t="s">
        <v>229</v>
      </c>
      <c r="VSX77" t="s">
        <v>633</v>
      </c>
      <c r="VSY77" t="s">
        <v>229</v>
      </c>
      <c r="VSZ77" t="s">
        <v>633</v>
      </c>
      <c r="VTA77" t="s">
        <v>229</v>
      </c>
      <c r="VTB77" t="s">
        <v>633</v>
      </c>
      <c r="VTC77" t="s">
        <v>229</v>
      </c>
      <c r="VTD77" t="s">
        <v>633</v>
      </c>
      <c r="VTE77" t="s">
        <v>229</v>
      </c>
      <c r="VTF77" t="s">
        <v>633</v>
      </c>
      <c r="VTG77" t="s">
        <v>229</v>
      </c>
      <c r="VTH77" t="s">
        <v>633</v>
      </c>
      <c r="VTI77" t="s">
        <v>229</v>
      </c>
      <c r="VTJ77" t="s">
        <v>633</v>
      </c>
      <c r="VTK77" t="s">
        <v>229</v>
      </c>
      <c r="VTL77" t="s">
        <v>633</v>
      </c>
      <c r="VTM77" t="s">
        <v>229</v>
      </c>
      <c r="VTN77" t="s">
        <v>633</v>
      </c>
      <c r="VTO77" t="s">
        <v>229</v>
      </c>
      <c r="VTP77" t="s">
        <v>633</v>
      </c>
      <c r="VTQ77" t="s">
        <v>229</v>
      </c>
      <c r="VTR77" t="s">
        <v>633</v>
      </c>
      <c r="VTS77" t="s">
        <v>229</v>
      </c>
      <c r="VTT77" t="s">
        <v>633</v>
      </c>
      <c r="VTU77" t="s">
        <v>229</v>
      </c>
      <c r="VTV77" t="s">
        <v>633</v>
      </c>
      <c r="VTW77" t="s">
        <v>229</v>
      </c>
      <c r="VTX77" t="s">
        <v>633</v>
      </c>
      <c r="VTY77" t="s">
        <v>229</v>
      </c>
      <c r="VTZ77" t="s">
        <v>633</v>
      </c>
      <c r="VUA77" t="s">
        <v>229</v>
      </c>
      <c r="VUB77" t="s">
        <v>633</v>
      </c>
      <c r="VUC77" t="s">
        <v>229</v>
      </c>
      <c r="VUD77" t="s">
        <v>633</v>
      </c>
      <c r="VUE77" t="s">
        <v>229</v>
      </c>
      <c r="VUF77" t="s">
        <v>633</v>
      </c>
      <c r="VUG77" t="s">
        <v>229</v>
      </c>
      <c r="VUH77" t="s">
        <v>633</v>
      </c>
      <c r="VUI77" t="s">
        <v>229</v>
      </c>
      <c r="VUJ77" t="s">
        <v>633</v>
      </c>
      <c r="VUK77" t="s">
        <v>229</v>
      </c>
      <c r="VUL77" t="s">
        <v>633</v>
      </c>
      <c r="VUM77" t="s">
        <v>229</v>
      </c>
      <c r="VUN77" t="s">
        <v>633</v>
      </c>
      <c r="VUO77" t="s">
        <v>229</v>
      </c>
      <c r="VUP77" t="s">
        <v>633</v>
      </c>
      <c r="VUQ77" t="s">
        <v>229</v>
      </c>
      <c r="VUR77" t="s">
        <v>633</v>
      </c>
      <c r="VUS77" t="s">
        <v>229</v>
      </c>
      <c r="VUT77" t="s">
        <v>633</v>
      </c>
      <c r="VUU77" t="s">
        <v>229</v>
      </c>
      <c r="VUV77" t="s">
        <v>633</v>
      </c>
      <c r="VUW77" t="s">
        <v>229</v>
      </c>
      <c r="VUX77" t="s">
        <v>633</v>
      </c>
      <c r="VUY77" t="s">
        <v>229</v>
      </c>
      <c r="VUZ77" t="s">
        <v>633</v>
      </c>
      <c r="VVA77" t="s">
        <v>229</v>
      </c>
      <c r="VVB77" t="s">
        <v>633</v>
      </c>
      <c r="VVC77" t="s">
        <v>229</v>
      </c>
      <c r="VVD77" t="s">
        <v>633</v>
      </c>
      <c r="VVE77" t="s">
        <v>229</v>
      </c>
      <c r="VVF77" t="s">
        <v>633</v>
      </c>
      <c r="VVG77" t="s">
        <v>229</v>
      </c>
      <c r="VVH77" t="s">
        <v>633</v>
      </c>
      <c r="VVI77" t="s">
        <v>229</v>
      </c>
      <c r="VVJ77" t="s">
        <v>633</v>
      </c>
      <c r="VVK77" t="s">
        <v>229</v>
      </c>
      <c r="VVL77" t="s">
        <v>633</v>
      </c>
      <c r="VVM77" t="s">
        <v>229</v>
      </c>
      <c r="VVN77" t="s">
        <v>633</v>
      </c>
      <c r="VVO77" t="s">
        <v>229</v>
      </c>
      <c r="VVP77" t="s">
        <v>633</v>
      </c>
      <c r="VVQ77" t="s">
        <v>229</v>
      </c>
      <c r="VVR77" t="s">
        <v>633</v>
      </c>
      <c r="VVS77" t="s">
        <v>229</v>
      </c>
      <c r="VVT77" t="s">
        <v>633</v>
      </c>
      <c r="VVU77" t="s">
        <v>229</v>
      </c>
      <c r="VVV77" t="s">
        <v>633</v>
      </c>
      <c r="VVW77" t="s">
        <v>229</v>
      </c>
      <c r="VVX77" t="s">
        <v>633</v>
      </c>
      <c r="VVY77" t="s">
        <v>229</v>
      </c>
      <c r="VVZ77" t="s">
        <v>633</v>
      </c>
      <c r="VWA77" t="s">
        <v>229</v>
      </c>
      <c r="VWB77" t="s">
        <v>633</v>
      </c>
      <c r="VWC77" t="s">
        <v>229</v>
      </c>
      <c r="VWD77" t="s">
        <v>633</v>
      </c>
      <c r="VWE77" t="s">
        <v>229</v>
      </c>
      <c r="VWF77" t="s">
        <v>633</v>
      </c>
      <c r="VWG77" t="s">
        <v>229</v>
      </c>
      <c r="VWH77" t="s">
        <v>633</v>
      </c>
      <c r="VWI77" t="s">
        <v>229</v>
      </c>
      <c r="VWJ77" t="s">
        <v>633</v>
      </c>
      <c r="VWK77" t="s">
        <v>229</v>
      </c>
      <c r="VWL77" t="s">
        <v>633</v>
      </c>
      <c r="VWM77" t="s">
        <v>229</v>
      </c>
      <c r="VWN77" t="s">
        <v>633</v>
      </c>
      <c r="VWO77" t="s">
        <v>229</v>
      </c>
      <c r="VWP77" t="s">
        <v>633</v>
      </c>
      <c r="VWQ77" t="s">
        <v>229</v>
      </c>
      <c r="VWR77" t="s">
        <v>633</v>
      </c>
      <c r="VWS77" t="s">
        <v>229</v>
      </c>
      <c r="VWT77" t="s">
        <v>633</v>
      </c>
      <c r="VWU77" t="s">
        <v>229</v>
      </c>
      <c r="VWV77" t="s">
        <v>633</v>
      </c>
      <c r="VWW77" t="s">
        <v>229</v>
      </c>
      <c r="VWX77" t="s">
        <v>633</v>
      </c>
      <c r="VWY77" t="s">
        <v>229</v>
      </c>
      <c r="VWZ77" t="s">
        <v>633</v>
      </c>
      <c r="VXA77" t="s">
        <v>229</v>
      </c>
      <c r="VXB77" t="s">
        <v>633</v>
      </c>
      <c r="VXC77" t="s">
        <v>229</v>
      </c>
      <c r="VXD77" t="s">
        <v>633</v>
      </c>
      <c r="VXE77" t="s">
        <v>229</v>
      </c>
      <c r="VXF77" t="s">
        <v>633</v>
      </c>
      <c r="VXG77" t="s">
        <v>229</v>
      </c>
      <c r="VXH77" t="s">
        <v>633</v>
      </c>
      <c r="VXI77" t="s">
        <v>229</v>
      </c>
      <c r="VXJ77" t="s">
        <v>633</v>
      </c>
      <c r="VXK77" t="s">
        <v>229</v>
      </c>
      <c r="VXL77" t="s">
        <v>633</v>
      </c>
      <c r="VXM77" t="s">
        <v>229</v>
      </c>
      <c r="VXN77" t="s">
        <v>633</v>
      </c>
      <c r="VXO77" t="s">
        <v>229</v>
      </c>
      <c r="VXP77" t="s">
        <v>633</v>
      </c>
      <c r="VXQ77" t="s">
        <v>229</v>
      </c>
      <c r="VXR77" t="s">
        <v>633</v>
      </c>
      <c r="VXS77" t="s">
        <v>229</v>
      </c>
      <c r="VXT77" t="s">
        <v>633</v>
      </c>
      <c r="VXU77" t="s">
        <v>229</v>
      </c>
      <c r="VXV77" t="s">
        <v>633</v>
      </c>
      <c r="VXW77" t="s">
        <v>229</v>
      </c>
      <c r="VXX77" t="s">
        <v>633</v>
      </c>
      <c r="VXY77" t="s">
        <v>229</v>
      </c>
      <c r="VXZ77" t="s">
        <v>633</v>
      </c>
      <c r="VYA77" t="s">
        <v>229</v>
      </c>
      <c r="VYB77" t="s">
        <v>633</v>
      </c>
      <c r="VYC77" t="s">
        <v>229</v>
      </c>
      <c r="VYD77" t="s">
        <v>633</v>
      </c>
      <c r="VYE77" t="s">
        <v>229</v>
      </c>
      <c r="VYF77" t="s">
        <v>633</v>
      </c>
      <c r="VYG77" t="s">
        <v>229</v>
      </c>
      <c r="VYH77" t="s">
        <v>633</v>
      </c>
      <c r="VYI77" t="s">
        <v>229</v>
      </c>
      <c r="VYJ77" t="s">
        <v>633</v>
      </c>
      <c r="VYK77" t="s">
        <v>229</v>
      </c>
      <c r="VYL77" t="s">
        <v>633</v>
      </c>
      <c r="VYM77" t="s">
        <v>229</v>
      </c>
      <c r="VYN77" t="s">
        <v>633</v>
      </c>
      <c r="VYO77" t="s">
        <v>229</v>
      </c>
      <c r="VYP77" t="s">
        <v>633</v>
      </c>
      <c r="VYQ77" t="s">
        <v>229</v>
      </c>
      <c r="VYR77" t="s">
        <v>633</v>
      </c>
      <c r="VYS77" t="s">
        <v>229</v>
      </c>
      <c r="VYT77" t="s">
        <v>633</v>
      </c>
      <c r="VYU77" t="s">
        <v>229</v>
      </c>
      <c r="VYV77" t="s">
        <v>633</v>
      </c>
      <c r="VYW77" t="s">
        <v>229</v>
      </c>
      <c r="VYX77" t="s">
        <v>633</v>
      </c>
      <c r="VYY77" t="s">
        <v>229</v>
      </c>
      <c r="VYZ77" t="s">
        <v>633</v>
      </c>
      <c r="VZA77" t="s">
        <v>229</v>
      </c>
      <c r="VZB77" t="s">
        <v>633</v>
      </c>
      <c r="VZC77" t="s">
        <v>229</v>
      </c>
      <c r="VZD77" t="s">
        <v>633</v>
      </c>
      <c r="VZE77" t="s">
        <v>229</v>
      </c>
      <c r="VZF77" t="s">
        <v>633</v>
      </c>
      <c r="VZG77" t="s">
        <v>229</v>
      </c>
      <c r="VZH77" t="s">
        <v>633</v>
      </c>
      <c r="VZI77" t="s">
        <v>229</v>
      </c>
      <c r="VZJ77" t="s">
        <v>633</v>
      </c>
      <c r="VZK77" t="s">
        <v>229</v>
      </c>
      <c r="VZL77" t="s">
        <v>633</v>
      </c>
      <c r="VZM77" t="s">
        <v>229</v>
      </c>
      <c r="VZN77" t="s">
        <v>633</v>
      </c>
      <c r="VZO77" t="s">
        <v>229</v>
      </c>
      <c r="VZP77" t="s">
        <v>633</v>
      </c>
      <c r="VZQ77" t="s">
        <v>229</v>
      </c>
      <c r="VZR77" t="s">
        <v>633</v>
      </c>
      <c r="VZS77" t="s">
        <v>229</v>
      </c>
      <c r="VZT77" t="s">
        <v>633</v>
      </c>
      <c r="VZU77" t="s">
        <v>229</v>
      </c>
      <c r="VZV77" t="s">
        <v>633</v>
      </c>
      <c r="VZW77" t="s">
        <v>229</v>
      </c>
      <c r="VZX77" t="s">
        <v>633</v>
      </c>
      <c r="VZY77" t="s">
        <v>229</v>
      </c>
      <c r="VZZ77" t="s">
        <v>633</v>
      </c>
      <c r="WAA77" t="s">
        <v>229</v>
      </c>
      <c r="WAB77" t="s">
        <v>633</v>
      </c>
      <c r="WAC77" t="s">
        <v>229</v>
      </c>
      <c r="WAD77" t="s">
        <v>633</v>
      </c>
      <c r="WAE77" t="s">
        <v>229</v>
      </c>
      <c r="WAF77" t="s">
        <v>633</v>
      </c>
      <c r="WAG77" t="s">
        <v>229</v>
      </c>
      <c r="WAH77" t="s">
        <v>633</v>
      </c>
      <c r="WAI77" t="s">
        <v>229</v>
      </c>
      <c r="WAJ77" t="s">
        <v>633</v>
      </c>
      <c r="WAK77" t="s">
        <v>229</v>
      </c>
      <c r="WAL77" t="s">
        <v>633</v>
      </c>
      <c r="WAM77" t="s">
        <v>229</v>
      </c>
      <c r="WAN77" t="s">
        <v>633</v>
      </c>
      <c r="WAO77" t="s">
        <v>229</v>
      </c>
      <c r="WAP77" t="s">
        <v>633</v>
      </c>
      <c r="WAQ77" t="s">
        <v>229</v>
      </c>
      <c r="WAR77" t="s">
        <v>633</v>
      </c>
      <c r="WAS77" t="s">
        <v>229</v>
      </c>
      <c r="WAT77" t="s">
        <v>633</v>
      </c>
      <c r="WAU77" t="s">
        <v>229</v>
      </c>
      <c r="WAV77" t="s">
        <v>633</v>
      </c>
      <c r="WAW77" t="s">
        <v>229</v>
      </c>
      <c r="WAX77" t="s">
        <v>633</v>
      </c>
      <c r="WAY77" t="s">
        <v>229</v>
      </c>
      <c r="WAZ77" t="s">
        <v>633</v>
      </c>
      <c r="WBA77" t="s">
        <v>229</v>
      </c>
      <c r="WBB77" t="s">
        <v>633</v>
      </c>
      <c r="WBC77" t="s">
        <v>229</v>
      </c>
      <c r="WBD77" t="s">
        <v>633</v>
      </c>
      <c r="WBE77" t="s">
        <v>229</v>
      </c>
      <c r="WBF77" t="s">
        <v>633</v>
      </c>
      <c r="WBG77" t="s">
        <v>229</v>
      </c>
      <c r="WBH77" t="s">
        <v>633</v>
      </c>
      <c r="WBI77" t="s">
        <v>229</v>
      </c>
      <c r="WBJ77" t="s">
        <v>633</v>
      </c>
      <c r="WBK77" t="s">
        <v>229</v>
      </c>
      <c r="WBL77" t="s">
        <v>633</v>
      </c>
      <c r="WBM77" t="s">
        <v>229</v>
      </c>
      <c r="WBN77" t="s">
        <v>633</v>
      </c>
      <c r="WBO77" t="s">
        <v>229</v>
      </c>
      <c r="WBP77" t="s">
        <v>633</v>
      </c>
      <c r="WBQ77" t="s">
        <v>229</v>
      </c>
      <c r="WBR77" t="s">
        <v>633</v>
      </c>
      <c r="WBS77" t="s">
        <v>229</v>
      </c>
      <c r="WBT77" t="s">
        <v>633</v>
      </c>
      <c r="WBU77" t="s">
        <v>229</v>
      </c>
      <c r="WBV77" t="s">
        <v>633</v>
      </c>
      <c r="WBW77" t="s">
        <v>229</v>
      </c>
      <c r="WBX77" t="s">
        <v>633</v>
      </c>
      <c r="WBY77" t="s">
        <v>229</v>
      </c>
      <c r="WBZ77" t="s">
        <v>633</v>
      </c>
      <c r="WCA77" t="s">
        <v>229</v>
      </c>
      <c r="WCB77" t="s">
        <v>633</v>
      </c>
      <c r="WCC77" t="s">
        <v>229</v>
      </c>
      <c r="WCD77" t="s">
        <v>633</v>
      </c>
      <c r="WCE77" t="s">
        <v>229</v>
      </c>
      <c r="WCF77" t="s">
        <v>633</v>
      </c>
      <c r="WCG77" t="s">
        <v>229</v>
      </c>
      <c r="WCH77" t="s">
        <v>633</v>
      </c>
      <c r="WCI77" t="s">
        <v>229</v>
      </c>
      <c r="WCJ77" t="s">
        <v>633</v>
      </c>
      <c r="WCK77" t="s">
        <v>229</v>
      </c>
      <c r="WCL77" t="s">
        <v>633</v>
      </c>
      <c r="WCM77" t="s">
        <v>229</v>
      </c>
      <c r="WCN77" t="s">
        <v>633</v>
      </c>
      <c r="WCO77" t="s">
        <v>229</v>
      </c>
      <c r="WCP77" t="s">
        <v>633</v>
      </c>
      <c r="WCQ77" t="s">
        <v>229</v>
      </c>
      <c r="WCR77" t="s">
        <v>633</v>
      </c>
      <c r="WCS77" t="s">
        <v>229</v>
      </c>
      <c r="WCT77" t="s">
        <v>633</v>
      </c>
      <c r="WCU77" t="s">
        <v>229</v>
      </c>
      <c r="WCV77" t="s">
        <v>633</v>
      </c>
      <c r="WCW77" t="s">
        <v>229</v>
      </c>
      <c r="WCX77" t="s">
        <v>633</v>
      </c>
      <c r="WCY77" t="s">
        <v>229</v>
      </c>
      <c r="WCZ77" t="s">
        <v>633</v>
      </c>
      <c r="WDA77" t="s">
        <v>229</v>
      </c>
      <c r="WDB77" t="s">
        <v>633</v>
      </c>
      <c r="WDC77" t="s">
        <v>229</v>
      </c>
      <c r="WDD77" t="s">
        <v>633</v>
      </c>
      <c r="WDE77" t="s">
        <v>229</v>
      </c>
      <c r="WDF77" t="s">
        <v>633</v>
      </c>
      <c r="WDG77" t="s">
        <v>229</v>
      </c>
      <c r="WDH77" t="s">
        <v>633</v>
      </c>
      <c r="WDI77" t="s">
        <v>229</v>
      </c>
      <c r="WDJ77" t="s">
        <v>633</v>
      </c>
      <c r="WDK77" t="s">
        <v>229</v>
      </c>
      <c r="WDL77" t="s">
        <v>633</v>
      </c>
      <c r="WDM77" t="s">
        <v>229</v>
      </c>
      <c r="WDN77" t="s">
        <v>633</v>
      </c>
      <c r="WDO77" t="s">
        <v>229</v>
      </c>
      <c r="WDP77" t="s">
        <v>633</v>
      </c>
      <c r="WDQ77" t="s">
        <v>229</v>
      </c>
      <c r="WDR77" t="s">
        <v>633</v>
      </c>
      <c r="WDS77" t="s">
        <v>229</v>
      </c>
      <c r="WDT77" t="s">
        <v>633</v>
      </c>
      <c r="WDU77" t="s">
        <v>229</v>
      </c>
      <c r="WDV77" t="s">
        <v>633</v>
      </c>
      <c r="WDW77" t="s">
        <v>229</v>
      </c>
      <c r="WDX77" t="s">
        <v>633</v>
      </c>
      <c r="WDY77" t="s">
        <v>229</v>
      </c>
      <c r="WDZ77" t="s">
        <v>633</v>
      </c>
      <c r="WEA77" t="s">
        <v>229</v>
      </c>
      <c r="WEB77" t="s">
        <v>633</v>
      </c>
      <c r="WEC77" t="s">
        <v>229</v>
      </c>
      <c r="WED77" t="s">
        <v>633</v>
      </c>
      <c r="WEE77" t="s">
        <v>229</v>
      </c>
      <c r="WEF77" t="s">
        <v>633</v>
      </c>
      <c r="WEG77" t="s">
        <v>229</v>
      </c>
      <c r="WEH77" t="s">
        <v>633</v>
      </c>
      <c r="WEI77" t="s">
        <v>229</v>
      </c>
      <c r="WEJ77" t="s">
        <v>633</v>
      </c>
      <c r="WEK77" t="s">
        <v>229</v>
      </c>
      <c r="WEL77" t="s">
        <v>633</v>
      </c>
      <c r="WEM77" t="s">
        <v>229</v>
      </c>
      <c r="WEN77" t="s">
        <v>633</v>
      </c>
      <c r="WEO77" t="s">
        <v>229</v>
      </c>
      <c r="WEP77" t="s">
        <v>633</v>
      </c>
      <c r="WEQ77" t="s">
        <v>229</v>
      </c>
      <c r="WER77" t="s">
        <v>633</v>
      </c>
      <c r="WES77" t="s">
        <v>229</v>
      </c>
      <c r="WET77" t="s">
        <v>633</v>
      </c>
      <c r="WEU77" t="s">
        <v>229</v>
      </c>
      <c r="WEV77" t="s">
        <v>633</v>
      </c>
      <c r="WEW77" t="s">
        <v>229</v>
      </c>
      <c r="WEX77" t="s">
        <v>633</v>
      </c>
      <c r="WEY77" t="s">
        <v>229</v>
      </c>
      <c r="WEZ77" t="s">
        <v>633</v>
      </c>
      <c r="WFA77" t="s">
        <v>229</v>
      </c>
      <c r="WFB77" t="s">
        <v>633</v>
      </c>
      <c r="WFC77" t="s">
        <v>229</v>
      </c>
      <c r="WFD77" t="s">
        <v>633</v>
      </c>
      <c r="WFE77" t="s">
        <v>229</v>
      </c>
      <c r="WFF77" t="s">
        <v>633</v>
      </c>
      <c r="WFG77" t="s">
        <v>229</v>
      </c>
      <c r="WFH77" t="s">
        <v>633</v>
      </c>
      <c r="WFI77" t="s">
        <v>229</v>
      </c>
      <c r="WFJ77" t="s">
        <v>633</v>
      </c>
      <c r="WFK77" t="s">
        <v>229</v>
      </c>
      <c r="WFL77" t="s">
        <v>633</v>
      </c>
      <c r="WFM77" t="s">
        <v>229</v>
      </c>
      <c r="WFN77" t="s">
        <v>633</v>
      </c>
      <c r="WFO77" t="s">
        <v>229</v>
      </c>
      <c r="WFP77" t="s">
        <v>633</v>
      </c>
      <c r="WFQ77" t="s">
        <v>229</v>
      </c>
      <c r="WFR77" t="s">
        <v>633</v>
      </c>
      <c r="WFS77" t="s">
        <v>229</v>
      </c>
      <c r="WFT77" t="s">
        <v>633</v>
      </c>
      <c r="WFU77" t="s">
        <v>229</v>
      </c>
      <c r="WFV77" t="s">
        <v>633</v>
      </c>
      <c r="WFW77" t="s">
        <v>229</v>
      </c>
      <c r="WFX77" t="s">
        <v>633</v>
      </c>
      <c r="WFY77" t="s">
        <v>229</v>
      </c>
      <c r="WFZ77" t="s">
        <v>633</v>
      </c>
      <c r="WGA77" t="s">
        <v>229</v>
      </c>
      <c r="WGB77" t="s">
        <v>633</v>
      </c>
      <c r="WGC77" t="s">
        <v>229</v>
      </c>
      <c r="WGD77" t="s">
        <v>633</v>
      </c>
      <c r="WGE77" t="s">
        <v>229</v>
      </c>
      <c r="WGF77" t="s">
        <v>633</v>
      </c>
      <c r="WGG77" t="s">
        <v>229</v>
      </c>
      <c r="WGH77" t="s">
        <v>633</v>
      </c>
      <c r="WGI77" t="s">
        <v>229</v>
      </c>
      <c r="WGJ77" t="s">
        <v>633</v>
      </c>
      <c r="WGK77" t="s">
        <v>229</v>
      </c>
      <c r="WGL77" t="s">
        <v>633</v>
      </c>
      <c r="WGM77" t="s">
        <v>229</v>
      </c>
      <c r="WGN77" t="s">
        <v>633</v>
      </c>
      <c r="WGO77" t="s">
        <v>229</v>
      </c>
      <c r="WGP77" t="s">
        <v>633</v>
      </c>
      <c r="WGQ77" t="s">
        <v>229</v>
      </c>
      <c r="WGR77" t="s">
        <v>633</v>
      </c>
      <c r="WGS77" t="s">
        <v>229</v>
      </c>
      <c r="WGT77" t="s">
        <v>633</v>
      </c>
      <c r="WGU77" t="s">
        <v>229</v>
      </c>
      <c r="WGV77" t="s">
        <v>633</v>
      </c>
      <c r="WGW77" t="s">
        <v>229</v>
      </c>
      <c r="WGX77" t="s">
        <v>633</v>
      </c>
      <c r="WGY77" t="s">
        <v>229</v>
      </c>
      <c r="WGZ77" t="s">
        <v>633</v>
      </c>
      <c r="WHA77" t="s">
        <v>229</v>
      </c>
      <c r="WHB77" t="s">
        <v>633</v>
      </c>
      <c r="WHC77" t="s">
        <v>229</v>
      </c>
      <c r="WHD77" t="s">
        <v>633</v>
      </c>
      <c r="WHE77" t="s">
        <v>229</v>
      </c>
      <c r="WHF77" t="s">
        <v>633</v>
      </c>
      <c r="WHG77" t="s">
        <v>229</v>
      </c>
      <c r="WHH77" t="s">
        <v>633</v>
      </c>
      <c r="WHI77" t="s">
        <v>229</v>
      </c>
      <c r="WHJ77" t="s">
        <v>633</v>
      </c>
      <c r="WHK77" t="s">
        <v>229</v>
      </c>
      <c r="WHL77" t="s">
        <v>633</v>
      </c>
      <c r="WHM77" t="s">
        <v>229</v>
      </c>
      <c r="WHN77" t="s">
        <v>633</v>
      </c>
      <c r="WHO77" t="s">
        <v>229</v>
      </c>
      <c r="WHP77" t="s">
        <v>633</v>
      </c>
      <c r="WHQ77" t="s">
        <v>229</v>
      </c>
      <c r="WHR77" t="s">
        <v>633</v>
      </c>
      <c r="WHS77" t="s">
        <v>229</v>
      </c>
      <c r="WHT77" t="s">
        <v>633</v>
      </c>
      <c r="WHU77" t="s">
        <v>229</v>
      </c>
      <c r="WHV77" t="s">
        <v>633</v>
      </c>
      <c r="WHW77" t="s">
        <v>229</v>
      </c>
      <c r="WHX77" t="s">
        <v>633</v>
      </c>
      <c r="WHY77" t="s">
        <v>229</v>
      </c>
      <c r="WHZ77" t="s">
        <v>633</v>
      </c>
      <c r="WIA77" t="s">
        <v>229</v>
      </c>
      <c r="WIB77" t="s">
        <v>633</v>
      </c>
      <c r="WIC77" t="s">
        <v>229</v>
      </c>
      <c r="WID77" t="s">
        <v>633</v>
      </c>
      <c r="WIE77" t="s">
        <v>229</v>
      </c>
      <c r="WIF77" t="s">
        <v>633</v>
      </c>
      <c r="WIG77" t="s">
        <v>229</v>
      </c>
      <c r="WIH77" t="s">
        <v>633</v>
      </c>
      <c r="WII77" t="s">
        <v>229</v>
      </c>
      <c r="WIJ77" t="s">
        <v>633</v>
      </c>
      <c r="WIK77" t="s">
        <v>229</v>
      </c>
      <c r="WIL77" t="s">
        <v>633</v>
      </c>
      <c r="WIM77" t="s">
        <v>229</v>
      </c>
      <c r="WIN77" t="s">
        <v>633</v>
      </c>
      <c r="WIO77" t="s">
        <v>229</v>
      </c>
      <c r="WIP77" t="s">
        <v>633</v>
      </c>
      <c r="WIQ77" t="s">
        <v>229</v>
      </c>
      <c r="WIR77" t="s">
        <v>633</v>
      </c>
      <c r="WIS77" t="s">
        <v>229</v>
      </c>
      <c r="WIT77" t="s">
        <v>633</v>
      </c>
      <c r="WIU77" t="s">
        <v>229</v>
      </c>
      <c r="WIV77" t="s">
        <v>633</v>
      </c>
      <c r="WIW77" t="s">
        <v>229</v>
      </c>
      <c r="WIX77" t="s">
        <v>633</v>
      </c>
      <c r="WIY77" t="s">
        <v>229</v>
      </c>
      <c r="WIZ77" t="s">
        <v>633</v>
      </c>
      <c r="WJA77" t="s">
        <v>229</v>
      </c>
      <c r="WJB77" t="s">
        <v>633</v>
      </c>
      <c r="WJC77" t="s">
        <v>229</v>
      </c>
      <c r="WJD77" t="s">
        <v>633</v>
      </c>
      <c r="WJE77" t="s">
        <v>229</v>
      </c>
      <c r="WJF77" t="s">
        <v>633</v>
      </c>
      <c r="WJG77" t="s">
        <v>229</v>
      </c>
      <c r="WJH77" t="s">
        <v>633</v>
      </c>
      <c r="WJI77" t="s">
        <v>229</v>
      </c>
      <c r="WJJ77" t="s">
        <v>633</v>
      </c>
      <c r="WJK77" t="s">
        <v>229</v>
      </c>
      <c r="WJL77" t="s">
        <v>633</v>
      </c>
      <c r="WJM77" t="s">
        <v>229</v>
      </c>
      <c r="WJN77" t="s">
        <v>633</v>
      </c>
      <c r="WJO77" t="s">
        <v>229</v>
      </c>
      <c r="WJP77" t="s">
        <v>633</v>
      </c>
      <c r="WJQ77" t="s">
        <v>229</v>
      </c>
      <c r="WJR77" t="s">
        <v>633</v>
      </c>
      <c r="WJS77" t="s">
        <v>229</v>
      </c>
      <c r="WJT77" t="s">
        <v>633</v>
      </c>
      <c r="WJU77" t="s">
        <v>229</v>
      </c>
      <c r="WJV77" t="s">
        <v>633</v>
      </c>
      <c r="WJW77" t="s">
        <v>229</v>
      </c>
      <c r="WJX77" t="s">
        <v>633</v>
      </c>
      <c r="WJY77" t="s">
        <v>229</v>
      </c>
      <c r="WJZ77" t="s">
        <v>633</v>
      </c>
      <c r="WKA77" t="s">
        <v>229</v>
      </c>
      <c r="WKB77" t="s">
        <v>633</v>
      </c>
      <c r="WKC77" t="s">
        <v>229</v>
      </c>
      <c r="WKD77" t="s">
        <v>633</v>
      </c>
      <c r="WKE77" t="s">
        <v>229</v>
      </c>
      <c r="WKF77" t="s">
        <v>633</v>
      </c>
      <c r="WKG77" t="s">
        <v>229</v>
      </c>
      <c r="WKH77" t="s">
        <v>633</v>
      </c>
      <c r="WKI77" t="s">
        <v>229</v>
      </c>
      <c r="WKJ77" t="s">
        <v>633</v>
      </c>
      <c r="WKK77" t="s">
        <v>229</v>
      </c>
      <c r="WKL77" t="s">
        <v>633</v>
      </c>
      <c r="WKM77" t="s">
        <v>229</v>
      </c>
      <c r="WKN77" t="s">
        <v>633</v>
      </c>
      <c r="WKO77" t="s">
        <v>229</v>
      </c>
      <c r="WKP77" t="s">
        <v>633</v>
      </c>
      <c r="WKQ77" t="s">
        <v>229</v>
      </c>
      <c r="WKR77" t="s">
        <v>633</v>
      </c>
      <c r="WKS77" t="s">
        <v>229</v>
      </c>
      <c r="WKT77" t="s">
        <v>633</v>
      </c>
      <c r="WKU77" t="s">
        <v>229</v>
      </c>
      <c r="WKV77" t="s">
        <v>633</v>
      </c>
      <c r="WKW77" t="s">
        <v>229</v>
      </c>
      <c r="WKX77" t="s">
        <v>633</v>
      </c>
      <c r="WKY77" t="s">
        <v>229</v>
      </c>
      <c r="WKZ77" t="s">
        <v>633</v>
      </c>
      <c r="WLA77" t="s">
        <v>229</v>
      </c>
      <c r="WLB77" t="s">
        <v>633</v>
      </c>
      <c r="WLC77" t="s">
        <v>229</v>
      </c>
      <c r="WLD77" t="s">
        <v>633</v>
      </c>
      <c r="WLE77" t="s">
        <v>229</v>
      </c>
      <c r="WLF77" t="s">
        <v>633</v>
      </c>
      <c r="WLG77" t="s">
        <v>229</v>
      </c>
      <c r="WLH77" t="s">
        <v>633</v>
      </c>
      <c r="WLI77" t="s">
        <v>229</v>
      </c>
      <c r="WLJ77" t="s">
        <v>633</v>
      </c>
      <c r="WLK77" t="s">
        <v>229</v>
      </c>
      <c r="WLL77" t="s">
        <v>633</v>
      </c>
      <c r="WLM77" t="s">
        <v>229</v>
      </c>
      <c r="WLN77" t="s">
        <v>633</v>
      </c>
      <c r="WLO77" t="s">
        <v>229</v>
      </c>
      <c r="WLP77" t="s">
        <v>633</v>
      </c>
      <c r="WLQ77" t="s">
        <v>229</v>
      </c>
      <c r="WLR77" t="s">
        <v>633</v>
      </c>
      <c r="WLS77" t="s">
        <v>229</v>
      </c>
      <c r="WLT77" t="s">
        <v>633</v>
      </c>
      <c r="WLU77" t="s">
        <v>229</v>
      </c>
      <c r="WLV77" t="s">
        <v>633</v>
      </c>
      <c r="WLW77" t="s">
        <v>229</v>
      </c>
      <c r="WLX77" t="s">
        <v>633</v>
      </c>
      <c r="WLY77" t="s">
        <v>229</v>
      </c>
      <c r="WLZ77" t="s">
        <v>633</v>
      </c>
      <c r="WMA77" t="s">
        <v>229</v>
      </c>
      <c r="WMB77" t="s">
        <v>633</v>
      </c>
      <c r="WMC77" t="s">
        <v>229</v>
      </c>
      <c r="WMD77" t="s">
        <v>633</v>
      </c>
      <c r="WME77" t="s">
        <v>229</v>
      </c>
      <c r="WMF77" t="s">
        <v>633</v>
      </c>
      <c r="WMG77" t="s">
        <v>229</v>
      </c>
      <c r="WMH77" t="s">
        <v>633</v>
      </c>
      <c r="WMI77" t="s">
        <v>229</v>
      </c>
      <c r="WMJ77" t="s">
        <v>633</v>
      </c>
      <c r="WMK77" t="s">
        <v>229</v>
      </c>
      <c r="WML77" t="s">
        <v>633</v>
      </c>
      <c r="WMM77" t="s">
        <v>229</v>
      </c>
      <c r="WMN77" t="s">
        <v>633</v>
      </c>
      <c r="WMO77" t="s">
        <v>229</v>
      </c>
      <c r="WMP77" t="s">
        <v>633</v>
      </c>
      <c r="WMQ77" t="s">
        <v>229</v>
      </c>
      <c r="WMR77" t="s">
        <v>633</v>
      </c>
      <c r="WMS77" t="s">
        <v>229</v>
      </c>
      <c r="WMT77" t="s">
        <v>633</v>
      </c>
      <c r="WMU77" t="s">
        <v>229</v>
      </c>
      <c r="WMV77" t="s">
        <v>633</v>
      </c>
      <c r="WMW77" t="s">
        <v>229</v>
      </c>
      <c r="WMX77" t="s">
        <v>633</v>
      </c>
      <c r="WMY77" t="s">
        <v>229</v>
      </c>
      <c r="WMZ77" t="s">
        <v>633</v>
      </c>
      <c r="WNA77" t="s">
        <v>229</v>
      </c>
      <c r="WNB77" t="s">
        <v>633</v>
      </c>
      <c r="WNC77" t="s">
        <v>229</v>
      </c>
      <c r="WND77" t="s">
        <v>633</v>
      </c>
      <c r="WNE77" t="s">
        <v>229</v>
      </c>
      <c r="WNF77" t="s">
        <v>633</v>
      </c>
      <c r="WNG77" t="s">
        <v>229</v>
      </c>
      <c r="WNH77" t="s">
        <v>633</v>
      </c>
      <c r="WNI77" t="s">
        <v>229</v>
      </c>
      <c r="WNJ77" t="s">
        <v>633</v>
      </c>
      <c r="WNK77" t="s">
        <v>229</v>
      </c>
      <c r="WNL77" t="s">
        <v>633</v>
      </c>
      <c r="WNM77" t="s">
        <v>229</v>
      </c>
      <c r="WNN77" t="s">
        <v>633</v>
      </c>
      <c r="WNO77" t="s">
        <v>229</v>
      </c>
      <c r="WNP77" t="s">
        <v>633</v>
      </c>
      <c r="WNQ77" t="s">
        <v>229</v>
      </c>
      <c r="WNR77" t="s">
        <v>633</v>
      </c>
      <c r="WNS77" t="s">
        <v>229</v>
      </c>
      <c r="WNT77" t="s">
        <v>633</v>
      </c>
      <c r="WNU77" t="s">
        <v>229</v>
      </c>
      <c r="WNV77" t="s">
        <v>633</v>
      </c>
      <c r="WNW77" t="s">
        <v>229</v>
      </c>
      <c r="WNX77" t="s">
        <v>633</v>
      </c>
      <c r="WNY77" t="s">
        <v>229</v>
      </c>
      <c r="WNZ77" t="s">
        <v>633</v>
      </c>
      <c r="WOA77" t="s">
        <v>229</v>
      </c>
      <c r="WOB77" t="s">
        <v>633</v>
      </c>
      <c r="WOC77" t="s">
        <v>229</v>
      </c>
      <c r="WOD77" t="s">
        <v>633</v>
      </c>
      <c r="WOE77" t="s">
        <v>229</v>
      </c>
      <c r="WOF77" t="s">
        <v>633</v>
      </c>
      <c r="WOG77" t="s">
        <v>229</v>
      </c>
      <c r="WOH77" t="s">
        <v>633</v>
      </c>
      <c r="WOI77" t="s">
        <v>229</v>
      </c>
      <c r="WOJ77" t="s">
        <v>633</v>
      </c>
      <c r="WOK77" t="s">
        <v>229</v>
      </c>
      <c r="WOL77" t="s">
        <v>633</v>
      </c>
      <c r="WOM77" t="s">
        <v>229</v>
      </c>
      <c r="WON77" t="s">
        <v>633</v>
      </c>
      <c r="WOO77" t="s">
        <v>229</v>
      </c>
      <c r="WOP77" t="s">
        <v>633</v>
      </c>
      <c r="WOQ77" t="s">
        <v>229</v>
      </c>
      <c r="WOR77" t="s">
        <v>633</v>
      </c>
      <c r="WOS77" t="s">
        <v>229</v>
      </c>
      <c r="WOT77" t="s">
        <v>633</v>
      </c>
      <c r="WOU77" t="s">
        <v>229</v>
      </c>
      <c r="WOV77" t="s">
        <v>633</v>
      </c>
      <c r="WOW77" t="s">
        <v>229</v>
      </c>
      <c r="WOX77" t="s">
        <v>633</v>
      </c>
      <c r="WOY77" t="s">
        <v>229</v>
      </c>
      <c r="WOZ77" t="s">
        <v>633</v>
      </c>
      <c r="WPA77" t="s">
        <v>229</v>
      </c>
      <c r="WPB77" t="s">
        <v>633</v>
      </c>
      <c r="WPC77" t="s">
        <v>229</v>
      </c>
      <c r="WPD77" t="s">
        <v>633</v>
      </c>
      <c r="WPE77" t="s">
        <v>229</v>
      </c>
      <c r="WPF77" t="s">
        <v>633</v>
      </c>
      <c r="WPG77" t="s">
        <v>229</v>
      </c>
      <c r="WPH77" t="s">
        <v>633</v>
      </c>
      <c r="WPI77" t="s">
        <v>229</v>
      </c>
      <c r="WPJ77" t="s">
        <v>633</v>
      </c>
      <c r="WPK77" t="s">
        <v>229</v>
      </c>
      <c r="WPL77" t="s">
        <v>633</v>
      </c>
      <c r="WPM77" t="s">
        <v>229</v>
      </c>
      <c r="WPN77" t="s">
        <v>633</v>
      </c>
      <c r="WPO77" t="s">
        <v>229</v>
      </c>
      <c r="WPP77" t="s">
        <v>633</v>
      </c>
      <c r="WPQ77" t="s">
        <v>229</v>
      </c>
      <c r="WPR77" t="s">
        <v>633</v>
      </c>
      <c r="WPS77" t="s">
        <v>229</v>
      </c>
      <c r="WPT77" t="s">
        <v>633</v>
      </c>
      <c r="WPU77" t="s">
        <v>229</v>
      </c>
      <c r="WPV77" t="s">
        <v>633</v>
      </c>
      <c r="WPW77" t="s">
        <v>229</v>
      </c>
      <c r="WPX77" t="s">
        <v>633</v>
      </c>
      <c r="WPY77" t="s">
        <v>229</v>
      </c>
      <c r="WPZ77" t="s">
        <v>633</v>
      </c>
      <c r="WQA77" t="s">
        <v>229</v>
      </c>
      <c r="WQB77" t="s">
        <v>633</v>
      </c>
      <c r="WQC77" t="s">
        <v>229</v>
      </c>
      <c r="WQD77" t="s">
        <v>633</v>
      </c>
      <c r="WQE77" t="s">
        <v>229</v>
      </c>
      <c r="WQF77" t="s">
        <v>633</v>
      </c>
      <c r="WQG77" t="s">
        <v>229</v>
      </c>
      <c r="WQH77" t="s">
        <v>633</v>
      </c>
      <c r="WQI77" t="s">
        <v>229</v>
      </c>
      <c r="WQJ77" t="s">
        <v>633</v>
      </c>
      <c r="WQK77" t="s">
        <v>229</v>
      </c>
      <c r="WQL77" t="s">
        <v>633</v>
      </c>
      <c r="WQM77" t="s">
        <v>229</v>
      </c>
      <c r="WQN77" t="s">
        <v>633</v>
      </c>
      <c r="WQO77" t="s">
        <v>229</v>
      </c>
      <c r="WQP77" t="s">
        <v>633</v>
      </c>
      <c r="WQQ77" t="s">
        <v>229</v>
      </c>
      <c r="WQR77" t="s">
        <v>633</v>
      </c>
      <c r="WQS77" t="s">
        <v>229</v>
      </c>
      <c r="WQT77" t="s">
        <v>633</v>
      </c>
      <c r="WQU77" t="s">
        <v>229</v>
      </c>
      <c r="WQV77" t="s">
        <v>633</v>
      </c>
      <c r="WQW77" t="s">
        <v>229</v>
      </c>
      <c r="WQX77" t="s">
        <v>633</v>
      </c>
      <c r="WQY77" t="s">
        <v>229</v>
      </c>
      <c r="WQZ77" t="s">
        <v>633</v>
      </c>
      <c r="WRA77" t="s">
        <v>229</v>
      </c>
      <c r="WRB77" t="s">
        <v>633</v>
      </c>
      <c r="WRC77" t="s">
        <v>229</v>
      </c>
      <c r="WRD77" t="s">
        <v>633</v>
      </c>
      <c r="WRE77" t="s">
        <v>229</v>
      </c>
      <c r="WRF77" t="s">
        <v>633</v>
      </c>
      <c r="WRG77" t="s">
        <v>229</v>
      </c>
      <c r="WRH77" t="s">
        <v>633</v>
      </c>
      <c r="WRI77" t="s">
        <v>229</v>
      </c>
      <c r="WRJ77" t="s">
        <v>633</v>
      </c>
      <c r="WRK77" t="s">
        <v>229</v>
      </c>
      <c r="WRL77" t="s">
        <v>633</v>
      </c>
      <c r="WRM77" t="s">
        <v>229</v>
      </c>
      <c r="WRN77" t="s">
        <v>633</v>
      </c>
      <c r="WRO77" t="s">
        <v>229</v>
      </c>
      <c r="WRP77" t="s">
        <v>633</v>
      </c>
      <c r="WRQ77" t="s">
        <v>229</v>
      </c>
      <c r="WRR77" t="s">
        <v>633</v>
      </c>
      <c r="WRS77" t="s">
        <v>229</v>
      </c>
      <c r="WRT77" t="s">
        <v>633</v>
      </c>
      <c r="WRU77" t="s">
        <v>229</v>
      </c>
      <c r="WRV77" t="s">
        <v>633</v>
      </c>
      <c r="WRW77" t="s">
        <v>229</v>
      </c>
      <c r="WRX77" t="s">
        <v>633</v>
      </c>
      <c r="WRY77" t="s">
        <v>229</v>
      </c>
      <c r="WRZ77" t="s">
        <v>633</v>
      </c>
      <c r="WSA77" t="s">
        <v>229</v>
      </c>
      <c r="WSB77" t="s">
        <v>633</v>
      </c>
      <c r="WSC77" t="s">
        <v>229</v>
      </c>
      <c r="WSD77" t="s">
        <v>633</v>
      </c>
      <c r="WSE77" t="s">
        <v>229</v>
      </c>
      <c r="WSF77" t="s">
        <v>633</v>
      </c>
      <c r="WSG77" t="s">
        <v>229</v>
      </c>
      <c r="WSH77" t="s">
        <v>633</v>
      </c>
      <c r="WSI77" t="s">
        <v>229</v>
      </c>
      <c r="WSJ77" t="s">
        <v>633</v>
      </c>
      <c r="WSK77" t="s">
        <v>229</v>
      </c>
      <c r="WSL77" t="s">
        <v>633</v>
      </c>
      <c r="WSM77" t="s">
        <v>229</v>
      </c>
      <c r="WSN77" t="s">
        <v>633</v>
      </c>
      <c r="WSO77" t="s">
        <v>229</v>
      </c>
      <c r="WSP77" t="s">
        <v>633</v>
      </c>
      <c r="WSQ77" t="s">
        <v>229</v>
      </c>
      <c r="WSR77" t="s">
        <v>633</v>
      </c>
      <c r="WSS77" t="s">
        <v>229</v>
      </c>
      <c r="WST77" t="s">
        <v>633</v>
      </c>
      <c r="WSU77" t="s">
        <v>229</v>
      </c>
      <c r="WSV77" t="s">
        <v>633</v>
      </c>
      <c r="WSW77" t="s">
        <v>229</v>
      </c>
      <c r="WSX77" t="s">
        <v>633</v>
      </c>
      <c r="WSY77" t="s">
        <v>229</v>
      </c>
      <c r="WSZ77" t="s">
        <v>633</v>
      </c>
      <c r="WTA77" t="s">
        <v>229</v>
      </c>
      <c r="WTB77" t="s">
        <v>633</v>
      </c>
      <c r="WTC77" t="s">
        <v>229</v>
      </c>
      <c r="WTD77" t="s">
        <v>633</v>
      </c>
      <c r="WTE77" t="s">
        <v>229</v>
      </c>
      <c r="WTF77" t="s">
        <v>633</v>
      </c>
      <c r="WTG77" t="s">
        <v>229</v>
      </c>
      <c r="WTH77" t="s">
        <v>633</v>
      </c>
      <c r="WTI77" t="s">
        <v>229</v>
      </c>
      <c r="WTJ77" t="s">
        <v>633</v>
      </c>
      <c r="WTK77" t="s">
        <v>229</v>
      </c>
      <c r="WTL77" t="s">
        <v>633</v>
      </c>
      <c r="WTM77" t="s">
        <v>229</v>
      </c>
      <c r="WTN77" t="s">
        <v>633</v>
      </c>
      <c r="WTO77" t="s">
        <v>229</v>
      </c>
      <c r="WTP77" t="s">
        <v>633</v>
      </c>
      <c r="WTQ77" t="s">
        <v>229</v>
      </c>
      <c r="WTR77" t="s">
        <v>633</v>
      </c>
      <c r="WTS77" t="s">
        <v>229</v>
      </c>
      <c r="WTT77" t="s">
        <v>633</v>
      </c>
      <c r="WTU77" t="s">
        <v>229</v>
      </c>
      <c r="WTV77" t="s">
        <v>633</v>
      </c>
      <c r="WTW77" t="s">
        <v>229</v>
      </c>
      <c r="WTX77" t="s">
        <v>633</v>
      </c>
      <c r="WTY77" t="s">
        <v>229</v>
      </c>
      <c r="WTZ77" t="s">
        <v>633</v>
      </c>
      <c r="WUA77" t="s">
        <v>229</v>
      </c>
      <c r="WUB77" t="s">
        <v>633</v>
      </c>
      <c r="WUC77" t="s">
        <v>229</v>
      </c>
      <c r="WUD77" t="s">
        <v>633</v>
      </c>
      <c r="WUE77" t="s">
        <v>229</v>
      </c>
      <c r="WUF77" t="s">
        <v>633</v>
      </c>
      <c r="WUG77" t="s">
        <v>229</v>
      </c>
      <c r="WUH77" t="s">
        <v>633</v>
      </c>
      <c r="WUI77" t="s">
        <v>229</v>
      </c>
      <c r="WUJ77" t="s">
        <v>633</v>
      </c>
      <c r="WUK77" t="s">
        <v>229</v>
      </c>
      <c r="WUL77" t="s">
        <v>633</v>
      </c>
      <c r="WUM77" t="s">
        <v>229</v>
      </c>
      <c r="WUN77" t="s">
        <v>633</v>
      </c>
      <c r="WUO77" t="s">
        <v>229</v>
      </c>
      <c r="WUP77" t="s">
        <v>633</v>
      </c>
      <c r="WUQ77" t="s">
        <v>229</v>
      </c>
      <c r="WUR77" t="s">
        <v>633</v>
      </c>
      <c r="WUS77" t="s">
        <v>229</v>
      </c>
      <c r="WUT77" t="s">
        <v>633</v>
      </c>
      <c r="WUU77" t="s">
        <v>229</v>
      </c>
      <c r="WUV77" t="s">
        <v>633</v>
      </c>
      <c r="WUW77" t="s">
        <v>229</v>
      </c>
      <c r="WUX77" t="s">
        <v>633</v>
      </c>
      <c r="WUY77" t="s">
        <v>229</v>
      </c>
      <c r="WUZ77" t="s">
        <v>633</v>
      </c>
      <c r="WVA77" t="s">
        <v>229</v>
      </c>
      <c r="WVB77" t="s">
        <v>633</v>
      </c>
      <c r="WVC77" t="s">
        <v>229</v>
      </c>
      <c r="WVD77" t="s">
        <v>633</v>
      </c>
      <c r="WVE77" t="s">
        <v>229</v>
      </c>
      <c r="WVF77" t="s">
        <v>633</v>
      </c>
      <c r="WVG77" t="s">
        <v>229</v>
      </c>
      <c r="WVH77" t="s">
        <v>633</v>
      </c>
      <c r="WVI77" t="s">
        <v>229</v>
      </c>
      <c r="WVJ77" t="s">
        <v>633</v>
      </c>
      <c r="WVK77" t="s">
        <v>229</v>
      </c>
      <c r="WVL77" t="s">
        <v>633</v>
      </c>
      <c r="WVM77" t="s">
        <v>229</v>
      </c>
      <c r="WVN77" t="s">
        <v>633</v>
      </c>
      <c r="WVO77" t="s">
        <v>229</v>
      </c>
      <c r="WVP77" t="s">
        <v>633</v>
      </c>
      <c r="WVQ77" t="s">
        <v>229</v>
      </c>
      <c r="WVR77" t="s">
        <v>633</v>
      </c>
      <c r="WVS77" t="s">
        <v>229</v>
      </c>
      <c r="WVT77" t="s">
        <v>633</v>
      </c>
      <c r="WVU77" t="s">
        <v>229</v>
      </c>
      <c r="WVV77" t="s">
        <v>633</v>
      </c>
      <c r="WVW77" t="s">
        <v>229</v>
      </c>
      <c r="WVX77" t="s">
        <v>633</v>
      </c>
      <c r="WVY77" t="s">
        <v>229</v>
      </c>
      <c r="WVZ77" t="s">
        <v>633</v>
      </c>
      <c r="WWA77" t="s">
        <v>229</v>
      </c>
      <c r="WWB77" t="s">
        <v>633</v>
      </c>
      <c r="WWC77" t="s">
        <v>229</v>
      </c>
      <c r="WWD77" t="s">
        <v>633</v>
      </c>
      <c r="WWE77" t="s">
        <v>229</v>
      </c>
      <c r="WWF77" t="s">
        <v>633</v>
      </c>
      <c r="WWG77" t="s">
        <v>229</v>
      </c>
      <c r="WWH77" t="s">
        <v>633</v>
      </c>
      <c r="WWI77" t="s">
        <v>229</v>
      </c>
      <c r="WWJ77" t="s">
        <v>633</v>
      </c>
      <c r="WWK77" t="s">
        <v>229</v>
      </c>
      <c r="WWL77" t="s">
        <v>633</v>
      </c>
      <c r="WWM77" t="s">
        <v>229</v>
      </c>
      <c r="WWN77" t="s">
        <v>633</v>
      </c>
      <c r="WWO77" t="s">
        <v>229</v>
      </c>
      <c r="WWP77" t="s">
        <v>633</v>
      </c>
      <c r="WWQ77" t="s">
        <v>229</v>
      </c>
      <c r="WWR77" t="s">
        <v>633</v>
      </c>
      <c r="WWS77" t="s">
        <v>229</v>
      </c>
      <c r="WWT77" t="s">
        <v>633</v>
      </c>
      <c r="WWU77" t="s">
        <v>229</v>
      </c>
      <c r="WWV77" t="s">
        <v>633</v>
      </c>
      <c r="WWW77" t="s">
        <v>229</v>
      </c>
      <c r="WWX77" t="s">
        <v>633</v>
      </c>
      <c r="WWY77" t="s">
        <v>229</v>
      </c>
      <c r="WWZ77" t="s">
        <v>633</v>
      </c>
      <c r="WXA77" t="s">
        <v>229</v>
      </c>
      <c r="WXB77" t="s">
        <v>633</v>
      </c>
      <c r="WXC77" t="s">
        <v>229</v>
      </c>
      <c r="WXD77" t="s">
        <v>633</v>
      </c>
      <c r="WXE77" t="s">
        <v>229</v>
      </c>
      <c r="WXF77" t="s">
        <v>633</v>
      </c>
      <c r="WXG77" t="s">
        <v>229</v>
      </c>
      <c r="WXH77" t="s">
        <v>633</v>
      </c>
      <c r="WXI77" t="s">
        <v>229</v>
      </c>
      <c r="WXJ77" t="s">
        <v>633</v>
      </c>
      <c r="WXK77" t="s">
        <v>229</v>
      </c>
      <c r="WXL77" t="s">
        <v>633</v>
      </c>
      <c r="WXM77" t="s">
        <v>229</v>
      </c>
      <c r="WXN77" t="s">
        <v>633</v>
      </c>
      <c r="WXO77" t="s">
        <v>229</v>
      </c>
      <c r="WXP77" t="s">
        <v>633</v>
      </c>
      <c r="WXQ77" t="s">
        <v>229</v>
      </c>
      <c r="WXR77" t="s">
        <v>633</v>
      </c>
      <c r="WXS77" t="s">
        <v>229</v>
      </c>
      <c r="WXT77" t="s">
        <v>633</v>
      </c>
      <c r="WXU77" t="s">
        <v>229</v>
      </c>
      <c r="WXV77" t="s">
        <v>633</v>
      </c>
      <c r="WXW77" t="s">
        <v>229</v>
      </c>
      <c r="WXX77" t="s">
        <v>633</v>
      </c>
      <c r="WXY77" t="s">
        <v>229</v>
      </c>
      <c r="WXZ77" t="s">
        <v>633</v>
      </c>
      <c r="WYA77" t="s">
        <v>229</v>
      </c>
      <c r="WYB77" t="s">
        <v>633</v>
      </c>
      <c r="WYC77" t="s">
        <v>229</v>
      </c>
      <c r="WYD77" t="s">
        <v>633</v>
      </c>
      <c r="WYE77" t="s">
        <v>229</v>
      </c>
      <c r="WYF77" t="s">
        <v>633</v>
      </c>
      <c r="WYG77" t="s">
        <v>229</v>
      </c>
      <c r="WYH77" t="s">
        <v>633</v>
      </c>
      <c r="WYI77" t="s">
        <v>229</v>
      </c>
      <c r="WYJ77" t="s">
        <v>633</v>
      </c>
      <c r="WYK77" t="s">
        <v>229</v>
      </c>
      <c r="WYL77" t="s">
        <v>633</v>
      </c>
      <c r="WYM77" t="s">
        <v>229</v>
      </c>
      <c r="WYN77" t="s">
        <v>633</v>
      </c>
      <c r="WYO77" t="s">
        <v>229</v>
      </c>
      <c r="WYP77" t="s">
        <v>633</v>
      </c>
      <c r="WYQ77" t="s">
        <v>229</v>
      </c>
      <c r="WYR77" t="s">
        <v>633</v>
      </c>
      <c r="WYS77" t="s">
        <v>229</v>
      </c>
      <c r="WYT77" t="s">
        <v>633</v>
      </c>
      <c r="WYU77" t="s">
        <v>229</v>
      </c>
      <c r="WYV77" t="s">
        <v>633</v>
      </c>
      <c r="WYW77" t="s">
        <v>229</v>
      </c>
      <c r="WYX77" t="s">
        <v>633</v>
      </c>
      <c r="WYY77" t="s">
        <v>229</v>
      </c>
      <c r="WYZ77" t="s">
        <v>633</v>
      </c>
      <c r="WZA77" t="s">
        <v>229</v>
      </c>
      <c r="WZB77" t="s">
        <v>633</v>
      </c>
      <c r="WZC77" t="s">
        <v>229</v>
      </c>
      <c r="WZD77" t="s">
        <v>633</v>
      </c>
      <c r="WZE77" t="s">
        <v>229</v>
      </c>
      <c r="WZF77" t="s">
        <v>633</v>
      </c>
      <c r="WZG77" t="s">
        <v>229</v>
      </c>
      <c r="WZH77" t="s">
        <v>633</v>
      </c>
      <c r="WZI77" t="s">
        <v>229</v>
      </c>
      <c r="WZJ77" t="s">
        <v>633</v>
      </c>
      <c r="WZK77" t="s">
        <v>229</v>
      </c>
      <c r="WZL77" t="s">
        <v>633</v>
      </c>
      <c r="WZM77" t="s">
        <v>229</v>
      </c>
      <c r="WZN77" t="s">
        <v>633</v>
      </c>
      <c r="WZO77" t="s">
        <v>229</v>
      </c>
      <c r="WZP77" t="s">
        <v>633</v>
      </c>
      <c r="WZQ77" t="s">
        <v>229</v>
      </c>
      <c r="WZR77" t="s">
        <v>633</v>
      </c>
      <c r="WZS77" t="s">
        <v>229</v>
      </c>
      <c r="WZT77" t="s">
        <v>633</v>
      </c>
      <c r="WZU77" t="s">
        <v>229</v>
      </c>
      <c r="WZV77" t="s">
        <v>633</v>
      </c>
      <c r="WZW77" t="s">
        <v>229</v>
      </c>
      <c r="WZX77" t="s">
        <v>633</v>
      </c>
      <c r="WZY77" t="s">
        <v>229</v>
      </c>
      <c r="WZZ77" t="s">
        <v>633</v>
      </c>
      <c r="XAA77" t="s">
        <v>229</v>
      </c>
      <c r="XAB77" t="s">
        <v>633</v>
      </c>
      <c r="XAC77" t="s">
        <v>229</v>
      </c>
      <c r="XAD77" t="s">
        <v>633</v>
      </c>
      <c r="XAE77" t="s">
        <v>229</v>
      </c>
      <c r="XAF77" t="s">
        <v>633</v>
      </c>
      <c r="XAG77" t="s">
        <v>229</v>
      </c>
      <c r="XAH77" t="s">
        <v>633</v>
      </c>
      <c r="XAI77" t="s">
        <v>229</v>
      </c>
      <c r="XAJ77" t="s">
        <v>633</v>
      </c>
      <c r="XAK77" t="s">
        <v>229</v>
      </c>
      <c r="XAL77" t="s">
        <v>633</v>
      </c>
      <c r="XAM77" t="s">
        <v>229</v>
      </c>
      <c r="XAN77" t="s">
        <v>633</v>
      </c>
      <c r="XAO77" t="s">
        <v>229</v>
      </c>
      <c r="XAP77" t="s">
        <v>633</v>
      </c>
      <c r="XAQ77" t="s">
        <v>229</v>
      </c>
      <c r="XAR77" t="s">
        <v>633</v>
      </c>
      <c r="XAS77" t="s">
        <v>229</v>
      </c>
      <c r="XAT77" t="s">
        <v>633</v>
      </c>
      <c r="XAU77" t="s">
        <v>229</v>
      </c>
      <c r="XAV77" t="s">
        <v>633</v>
      </c>
      <c r="XAW77" t="s">
        <v>229</v>
      </c>
      <c r="XAX77" t="s">
        <v>633</v>
      </c>
      <c r="XAY77" t="s">
        <v>229</v>
      </c>
      <c r="XAZ77" t="s">
        <v>633</v>
      </c>
      <c r="XBA77" t="s">
        <v>229</v>
      </c>
      <c r="XBB77" t="s">
        <v>633</v>
      </c>
      <c r="XBC77" t="s">
        <v>229</v>
      </c>
      <c r="XBD77" t="s">
        <v>633</v>
      </c>
      <c r="XBE77" t="s">
        <v>229</v>
      </c>
      <c r="XBF77" t="s">
        <v>633</v>
      </c>
      <c r="XBG77" t="s">
        <v>229</v>
      </c>
      <c r="XBH77" t="s">
        <v>633</v>
      </c>
      <c r="XBI77" t="s">
        <v>229</v>
      </c>
      <c r="XBJ77" t="s">
        <v>633</v>
      </c>
      <c r="XBK77" t="s">
        <v>229</v>
      </c>
      <c r="XBL77" t="s">
        <v>633</v>
      </c>
      <c r="XBM77" t="s">
        <v>229</v>
      </c>
      <c r="XBN77" t="s">
        <v>633</v>
      </c>
      <c r="XBO77" t="s">
        <v>229</v>
      </c>
      <c r="XBP77" t="s">
        <v>633</v>
      </c>
      <c r="XBQ77" t="s">
        <v>229</v>
      </c>
      <c r="XBR77" t="s">
        <v>633</v>
      </c>
      <c r="XBS77" t="s">
        <v>229</v>
      </c>
      <c r="XBT77" t="s">
        <v>633</v>
      </c>
      <c r="XBU77" t="s">
        <v>229</v>
      </c>
      <c r="XBV77" t="s">
        <v>633</v>
      </c>
      <c r="XBW77" t="s">
        <v>229</v>
      </c>
      <c r="XBX77" t="s">
        <v>633</v>
      </c>
      <c r="XBY77" t="s">
        <v>229</v>
      </c>
      <c r="XBZ77" t="s">
        <v>633</v>
      </c>
      <c r="XCA77" t="s">
        <v>229</v>
      </c>
      <c r="XCB77" t="s">
        <v>633</v>
      </c>
      <c r="XCC77" t="s">
        <v>229</v>
      </c>
      <c r="XCD77" t="s">
        <v>633</v>
      </c>
      <c r="XCE77" t="s">
        <v>229</v>
      </c>
      <c r="XCF77" t="s">
        <v>633</v>
      </c>
      <c r="XCG77" t="s">
        <v>229</v>
      </c>
      <c r="XCH77" t="s">
        <v>633</v>
      </c>
      <c r="XCI77" t="s">
        <v>229</v>
      </c>
      <c r="XCJ77" t="s">
        <v>633</v>
      </c>
      <c r="XCK77" t="s">
        <v>229</v>
      </c>
      <c r="XCL77" t="s">
        <v>633</v>
      </c>
      <c r="XCM77" t="s">
        <v>229</v>
      </c>
      <c r="XCN77" t="s">
        <v>633</v>
      </c>
      <c r="XCO77" t="s">
        <v>229</v>
      </c>
      <c r="XCP77" t="s">
        <v>633</v>
      </c>
      <c r="XCQ77" t="s">
        <v>229</v>
      </c>
      <c r="XCR77" t="s">
        <v>633</v>
      </c>
      <c r="XCS77" t="s">
        <v>229</v>
      </c>
      <c r="XCT77" t="s">
        <v>633</v>
      </c>
      <c r="XCU77" t="s">
        <v>229</v>
      </c>
      <c r="XCV77" t="s">
        <v>633</v>
      </c>
      <c r="XCW77" t="s">
        <v>229</v>
      </c>
      <c r="XCX77" t="s">
        <v>633</v>
      </c>
      <c r="XCY77" t="s">
        <v>229</v>
      </c>
      <c r="XCZ77" t="s">
        <v>633</v>
      </c>
      <c r="XDA77" t="s">
        <v>229</v>
      </c>
      <c r="XDB77" t="s">
        <v>633</v>
      </c>
      <c r="XDC77" t="s">
        <v>229</v>
      </c>
      <c r="XDD77" t="s">
        <v>633</v>
      </c>
      <c r="XDE77" t="s">
        <v>229</v>
      </c>
      <c r="XDF77" t="s">
        <v>633</v>
      </c>
      <c r="XDG77" t="s">
        <v>229</v>
      </c>
      <c r="XDH77" t="s">
        <v>633</v>
      </c>
      <c r="XDI77" t="s">
        <v>229</v>
      </c>
      <c r="XDJ77" t="s">
        <v>633</v>
      </c>
      <c r="XDK77" t="s">
        <v>229</v>
      </c>
      <c r="XDL77" t="s">
        <v>633</v>
      </c>
      <c r="XDM77" t="s">
        <v>229</v>
      </c>
      <c r="XDN77" t="s">
        <v>633</v>
      </c>
      <c r="XDO77" t="s">
        <v>229</v>
      </c>
      <c r="XDP77" t="s">
        <v>633</v>
      </c>
      <c r="XDQ77" t="s">
        <v>229</v>
      </c>
      <c r="XDR77" t="s">
        <v>633</v>
      </c>
      <c r="XDS77" t="s">
        <v>229</v>
      </c>
      <c r="XDT77" t="s">
        <v>633</v>
      </c>
      <c r="XDU77" t="s">
        <v>229</v>
      </c>
      <c r="XDV77" t="s">
        <v>633</v>
      </c>
      <c r="XDW77" t="s">
        <v>229</v>
      </c>
      <c r="XDX77" t="s">
        <v>633</v>
      </c>
      <c r="XDY77" t="s">
        <v>229</v>
      </c>
      <c r="XDZ77" t="s">
        <v>633</v>
      </c>
      <c r="XEA77" t="s">
        <v>229</v>
      </c>
      <c r="XEB77" t="s">
        <v>633</v>
      </c>
      <c r="XEC77" t="s">
        <v>229</v>
      </c>
      <c r="XED77" t="s">
        <v>633</v>
      </c>
      <c r="XEE77" t="s">
        <v>229</v>
      </c>
      <c r="XEF77" t="s">
        <v>633</v>
      </c>
      <c r="XEG77" t="s">
        <v>229</v>
      </c>
      <c r="XEH77" t="s">
        <v>633</v>
      </c>
      <c r="XEI77" t="s">
        <v>229</v>
      </c>
      <c r="XEJ77" t="s">
        <v>633</v>
      </c>
      <c r="XEK77" t="s">
        <v>229</v>
      </c>
      <c r="XEL77" t="s">
        <v>633</v>
      </c>
      <c r="XEM77" t="s">
        <v>229</v>
      </c>
      <c r="XEN77" t="s">
        <v>633</v>
      </c>
      <c r="XEO77" t="s">
        <v>229</v>
      </c>
      <c r="XEP77" t="s">
        <v>633</v>
      </c>
      <c r="XEQ77" t="s">
        <v>229</v>
      </c>
      <c r="XER77" t="s">
        <v>633</v>
      </c>
      <c r="XES77" t="s">
        <v>229</v>
      </c>
      <c r="XET77" t="s">
        <v>633</v>
      </c>
      <c r="XEU77" t="s">
        <v>229</v>
      </c>
      <c r="XEV77" t="s">
        <v>633</v>
      </c>
      <c r="XEW77" t="s">
        <v>229</v>
      </c>
      <c r="XEX77" t="s">
        <v>633</v>
      </c>
      <c r="XEY77" t="s">
        <v>229</v>
      </c>
      <c r="XEZ77" t="s">
        <v>633</v>
      </c>
      <c r="XFA77" t="s">
        <v>229</v>
      </c>
      <c r="XFB77" t="s">
        <v>633</v>
      </c>
      <c r="XFC77" t="s">
        <v>229</v>
      </c>
      <c r="XFD77" t="s">
        <v>633</v>
      </c>
    </row>
    <row r="78" spans="1:16384" ht="20.25" customHeight="1" x14ac:dyDescent="0.25">
      <c r="C78" s="680" t="s">
        <v>282</v>
      </c>
      <c r="D78" s="698" t="s">
        <v>53</v>
      </c>
    </row>
    <row r="79" spans="1:16384" ht="20.25" customHeight="1" x14ac:dyDescent="0.25">
      <c r="C79" s="680" t="s">
        <v>14</v>
      </c>
      <c r="D79" s="698" t="s">
        <v>268</v>
      </c>
    </row>
    <row r="80" spans="1:16384" ht="20.25" customHeight="1" x14ac:dyDescent="0.25">
      <c r="C80" s="680" t="s">
        <v>634</v>
      </c>
      <c r="D80" s="698" t="s">
        <v>635</v>
      </c>
    </row>
    <row r="81" spans="3:4" ht="20.25" customHeight="1" x14ac:dyDescent="0.25">
      <c r="C81" s="680" t="s">
        <v>636</v>
      </c>
      <c r="D81" s="698" t="s">
        <v>637</v>
      </c>
    </row>
    <row r="82" spans="3:4" ht="20.25" customHeight="1" x14ac:dyDescent="0.25">
      <c r="C82" s="680" t="s">
        <v>17</v>
      </c>
      <c r="D82" s="698" t="s">
        <v>269</v>
      </c>
    </row>
    <row r="83" spans="3:4" ht="20.25" customHeight="1" x14ac:dyDescent="0.25">
      <c r="C83" s="680" t="s">
        <v>77</v>
      </c>
      <c r="D83" s="698" t="s">
        <v>270</v>
      </c>
    </row>
    <row r="84" spans="3:4" ht="20.25" customHeight="1" x14ac:dyDescent="0.25">
      <c r="C84" s="680" t="s">
        <v>35</v>
      </c>
      <c r="D84" s="698" t="s">
        <v>357</v>
      </c>
    </row>
    <row r="85" spans="3:4" ht="20.25" customHeight="1" x14ac:dyDescent="0.25">
      <c r="C85" s="680" t="s">
        <v>638</v>
      </c>
      <c r="D85" s="698" t="s">
        <v>639</v>
      </c>
    </row>
    <row r="86" spans="3:4" ht="20.25" customHeight="1" x14ac:dyDescent="0.25">
      <c r="C86" s="680" t="s">
        <v>482</v>
      </c>
      <c r="D86" s="698" t="s">
        <v>640</v>
      </c>
    </row>
    <row r="87" spans="3:4" ht="20.25" customHeight="1" x14ac:dyDescent="0.25">
      <c r="C87" s="680" t="s">
        <v>469</v>
      </c>
      <c r="D87" s="698" t="s">
        <v>641</v>
      </c>
    </row>
    <row r="88" spans="3:4" ht="20.25" customHeight="1" x14ac:dyDescent="0.25">
      <c r="C88" s="680" t="s">
        <v>300</v>
      </c>
      <c r="D88" s="698" t="s">
        <v>301</v>
      </c>
    </row>
    <row r="89" spans="3:4" ht="20.25" customHeight="1" x14ac:dyDescent="0.25">
      <c r="C89" s="680" t="s">
        <v>642</v>
      </c>
      <c r="D89" s="698" t="s">
        <v>643</v>
      </c>
    </row>
    <row r="90" spans="3:4" ht="20.25" customHeight="1" x14ac:dyDescent="0.25">
      <c r="C90" s="680" t="s">
        <v>7</v>
      </c>
      <c r="D90" s="698" t="s">
        <v>271</v>
      </c>
    </row>
    <row r="91" spans="3:4" ht="20.25" customHeight="1" x14ac:dyDescent="0.25">
      <c r="C91" s="680" t="s">
        <v>281</v>
      </c>
      <c r="D91" s="698" t="s">
        <v>272</v>
      </c>
    </row>
    <row r="92" spans="3:4" ht="20.25" customHeight="1" x14ac:dyDescent="0.25">
      <c r="C92" s="680" t="s">
        <v>280</v>
      </c>
      <c r="D92" s="698" t="s">
        <v>273</v>
      </c>
    </row>
    <row r="93" spans="3:4" ht="20.25" customHeight="1" x14ac:dyDescent="0.25">
      <c r="C93" s="680" t="s">
        <v>279</v>
      </c>
      <c r="D93" s="698" t="s">
        <v>274</v>
      </c>
    </row>
    <row r="94" spans="3:4" ht="20.25" customHeight="1" x14ac:dyDescent="0.25">
      <c r="C94" s="680" t="s">
        <v>278</v>
      </c>
      <c r="D94" s="698" t="s">
        <v>275</v>
      </c>
    </row>
    <row r="95" spans="3:4" ht="20.25" customHeight="1" x14ac:dyDescent="0.25">
      <c r="C95" s="680" t="s">
        <v>644</v>
      </c>
      <c r="D95" s="698" t="s">
        <v>645</v>
      </c>
    </row>
    <row r="96" spans="3:4" ht="20.25" customHeight="1" x14ac:dyDescent="0.25">
      <c r="C96" s="680" t="s">
        <v>646</v>
      </c>
      <c r="D96" s="698" t="s">
        <v>647</v>
      </c>
    </row>
    <row r="97" spans="3:4" ht="20.25" customHeight="1" x14ac:dyDescent="0.25">
      <c r="C97" s="680" t="s">
        <v>648</v>
      </c>
      <c r="D97" s="698" t="s">
        <v>649</v>
      </c>
    </row>
    <row r="98" spans="3:4" ht="20.25" customHeight="1" x14ac:dyDescent="0.25">
      <c r="C98" s="680" t="s">
        <v>650</v>
      </c>
      <c r="D98" s="698" t="s">
        <v>651</v>
      </c>
    </row>
    <row r="99" spans="3:4" ht="20.25" customHeight="1" x14ac:dyDescent="0.25">
      <c r="C99" s="680" t="s">
        <v>652</v>
      </c>
      <c r="D99" s="698" t="s">
        <v>653</v>
      </c>
    </row>
    <row r="100" spans="3:4" ht="20.25" customHeight="1" x14ac:dyDescent="0.25">
      <c r="C100" s="680" t="s">
        <v>654</v>
      </c>
      <c r="D100" s="698" t="s">
        <v>655</v>
      </c>
    </row>
    <row r="101" spans="3:4" ht="20.25" customHeight="1" x14ac:dyDescent="0.25">
      <c r="C101" s="680" t="s">
        <v>9</v>
      </c>
      <c r="D101" s="698" t="s">
        <v>393</v>
      </c>
    </row>
    <row r="102" spans="3:4" ht="20.25" customHeight="1" x14ac:dyDescent="0.25">
      <c r="C102" s="680" t="s">
        <v>94</v>
      </c>
      <c r="D102" s="698" t="s">
        <v>394</v>
      </c>
    </row>
    <row r="103" spans="3:4" ht="20.25" customHeight="1" x14ac:dyDescent="0.25">
      <c r="C103" s="680" t="s">
        <v>277</v>
      </c>
      <c r="D103" s="698" t="s">
        <v>227</v>
      </c>
    </row>
    <row r="104" spans="3:4" ht="20.25" customHeight="1" x14ac:dyDescent="0.25">
      <c r="C104" s="680" t="s">
        <v>656</v>
      </c>
      <c r="D104" s="698" t="s">
        <v>657</v>
      </c>
    </row>
    <row r="105" spans="3:4" ht="20.25" customHeight="1" x14ac:dyDescent="0.25">
      <c r="C105" s="680" t="s">
        <v>34</v>
      </c>
      <c r="D105" s="698" t="s">
        <v>395</v>
      </c>
    </row>
    <row r="106" spans="3:4" ht="20.25" customHeight="1" x14ac:dyDescent="0.25">
      <c r="C106" s="680" t="s">
        <v>228</v>
      </c>
      <c r="D106" s="698" t="s">
        <v>356</v>
      </c>
    </row>
    <row r="107" spans="3:4" ht="20.25" customHeight="1" x14ac:dyDescent="0.25">
      <c r="C107" s="680" t="s">
        <v>56</v>
      </c>
      <c r="D107" s="698" t="s">
        <v>396</v>
      </c>
    </row>
    <row r="108" spans="3:4" ht="20.25" customHeight="1" x14ac:dyDescent="0.25">
      <c r="C108" s="682" t="s">
        <v>658</v>
      </c>
      <c r="D108" s="700" t="s">
        <v>659</v>
      </c>
    </row>
    <row r="109" spans="3:4" x14ac:dyDescent="0.25">
      <c r="C109" s="683" t="s">
        <v>276</v>
      </c>
      <c r="D109" s="701" t="s">
        <v>297</v>
      </c>
    </row>
    <row r="110" spans="3:4" x14ac:dyDescent="0.25">
      <c r="D110" s="930" t="s">
        <v>782</v>
      </c>
    </row>
    <row r="111" spans="3:4" x14ac:dyDescent="0.25">
      <c r="D111" s="931" t="s">
        <v>783</v>
      </c>
    </row>
    <row r="112" spans="3:4" x14ac:dyDescent="0.25">
      <c r="C112" s="684" t="s">
        <v>660</v>
      </c>
      <c r="D112" s="930" t="s">
        <v>784</v>
      </c>
    </row>
    <row r="113" spans="4:4" x14ac:dyDescent="0.25">
      <c r="D113" s="931" t="s">
        <v>785</v>
      </c>
    </row>
    <row r="114" spans="4:4" x14ac:dyDescent="0.25">
      <c r="D114" s="930" t="s">
        <v>786</v>
      </c>
    </row>
  </sheetData>
  <sheetProtection algorithmName="SHA-512" hashValue="jpqVd/ZfmFpKNRGp+X0jRE8b0nLWeQlpC8tR4U9M0eo4ouhgl1BN2AzdJDlyjvM4dttPk4ui2bYCEQmTHfS0YA==" saltValue="4K0V0dUDS1EjrkAwq76bR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P318"/>
  <sheetViews>
    <sheetView showGridLines="0" tabSelected="1" zoomScaleNormal="100" workbookViewId="0">
      <pane xSplit="3" ySplit="4" topLeftCell="D62" activePane="bottomRight" state="frozen"/>
      <selection activeCell="B1" sqref="B1"/>
      <selection pane="topRight" activeCell="B1" sqref="B1"/>
      <selection pane="bottomLeft" activeCell="B1" sqref="B1"/>
      <selection pane="bottomRight" activeCell="G73" sqref="G73"/>
    </sheetView>
  </sheetViews>
  <sheetFormatPr defaultColWidth="9.140625" defaultRowHeight="12.75" x14ac:dyDescent="0.2"/>
  <cols>
    <col min="1" max="1" width="1.42578125" style="34" customWidth="1"/>
    <col min="2" max="2" width="6.85546875" style="368" bestFit="1" customWidth="1"/>
    <col min="3" max="3" width="84" style="5" customWidth="1"/>
    <col min="4" max="4" width="12.140625" style="5" customWidth="1"/>
    <col min="5" max="6" width="12.140625" style="35" customWidth="1"/>
    <col min="7" max="11" width="14.85546875" style="35" customWidth="1"/>
    <col min="12" max="12" width="14.85546875" style="5" customWidth="1"/>
    <col min="13" max="16384" width="9.140625" style="5"/>
  </cols>
  <sheetData>
    <row r="1" spans="1:13" x14ac:dyDescent="0.2">
      <c r="A1" s="34" t="s">
        <v>224</v>
      </c>
      <c r="B1" s="66" t="s">
        <v>76</v>
      </c>
    </row>
    <row r="2" spans="1:13" s="155" customFormat="1" ht="19.5" thickBot="1" x14ac:dyDescent="0.35">
      <c r="A2" s="151" t="s">
        <v>225</v>
      </c>
      <c r="B2" s="345" t="s">
        <v>233</v>
      </c>
      <c r="C2" s="152" t="s">
        <v>46</v>
      </c>
      <c r="D2" s="153"/>
      <c r="E2" s="154"/>
      <c r="F2" s="154"/>
      <c r="G2" s="154"/>
      <c r="H2" s="154"/>
      <c r="I2" s="154"/>
      <c r="J2" s="154"/>
      <c r="K2" s="154"/>
      <c r="L2" s="154"/>
    </row>
    <row r="3" spans="1:13" ht="13.5" thickTop="1" x14ac:dyDescent="0.2">
      <c r="A3" s="34" t="s">
        <v>308</v>
      </c>
    </row>
    <row r="4" spans="1:13" ht="16.5" thickBot="1" x14ac:dyDescent="0.25">
      <c r="A4" s="34" t="s">
        <v>320</v>
      </c>
      <c r="C4" s="569" t="str">
        <f>+Capa!C13</f>
        <v>Gaming’Us</v>
      </c>
      <c r="D4" s="37"/>
      <c r="E4" s="37"/>
      <c r="F4" s="37"/>
      <c r="G4" s="39">
        <f>+D12</f>
        <v>2023</v>
      </c>
      <c r="H4" s="39">
        <f>+G4+1</f>
        <v>2024</v>
      </c>
      <c r="I4" s="39">
        <f t="shared" ref="I4:K4" si="0">+H4+1</f>
        <v>2025</v>
      </c>
      <c r="J4" s="39">
        <f t="shared" si="0"/>
        <v>2026</v>
      </c>
      <c r="K4" s="39">
        <f t="shared" si="0"/>
        <v>2027</v>
      </c>
      <c r="L4" s="39">
        <f>+K4+1</f>
        <v>2028</v>
      </c>
    </row>
    <row r="5" spans="1:13" ht="6.75" customHeight="1" thickTop="1" x14ac:dyDescent="0.2"/>
    <row r="6" spans="1:13" s="146" customFormat="1" ht="17.25" customHeight="1" x14ac:dyDescent="0.25">
      <c r="A6" s="145"/>
      <c r="B6" s="369"/>
      <c r="C6" s="147" t="s">
        <v>12</v>
      </c>
      <c r="D6" s="148"/>
      <c r="E6" s="149"/>
      <c r="F6" s="149"/>
      <c r="G6" s="149"/>
      <c r="H6" s="149"/>
      <c r="I6" s="149"/>
      <c r="J6" s="149"/>
      <c r="K6" s="149"/>
      <c r="L6" s="150"/>
    </row>
    <row r="7" spans="1:13" ht="6.75" customHeight="1" x14ac:dyDescent="0.2"/>
    <row r="8" spans="1:13" s="144" customFormat="1" ht="17.25" customHeight="1" x14ac:dyDescent="0.25">
      <c r="A8" s="21"/>
      <c r="B8" s="370"/>
      <c r="C8" s="156" t="s">
        <v>48</v>
      </c>
      <c r="D8" s="142"/>
      <c r="E8" s="143"/>
      <c r="F8" s="143"/>
      <c r="G8" s="143"/>
      <c r="H8" s="143"/>
      <c r="I8" s="143"/>
      <c r="J8" s="143"/>
      <c r="K8" s="143"/>
    </row>
    <row r="9" spans="1:13" s="79" customFormat="1" ht="17.25" customHeight="1" x14ac:dyDescent="0.25">
      <c r="A9" s="78"/>
      <c r="B9" s="371"/>
      <c r="C9" s="45" t="s">
        <v>576</v>
      </c>
      <c r="D9" s="775"/>
      <c r="E9" s="932" t="s">
        <v>523</v>
      </c>
      <c r="F9" s="933"/>
      <c r="G9" s="933"/>
      <c r="H9" s="933"/>
      <c r="I9" s="934"/>
      <c r="J9" s="158"/>
      <c r="K9" s="158"/>
    </row>
    <row r="10" spans="1:13" s="79" customFormat="1" ht="17.25" customHeight="1" x14ac:dyDescent="0.25">
      <c r="A10" s="78"/>
      <c r="B10" s="371"/>
      <c r="C10" s="45" t="s">
        <v>223</v>
      </c>
      <c r="D10" s="776"/>
      <c r="E10" s="354"/>
      <c r="F10" s="143"/>
      <c r="G10" s="158"/>
      <c r="H10" s="158"/>
      <c r="I10" s="158"/>
      <c r="J10" s="158"/>
      <c r="K10" s="158"/>
    </row>
    <row r="11" spans="1:13" s="79" customFormat="1" ht="17.25" customHeight="1" x14ac:dyDescent="0.25">
      <c r="A11" s="78"/>
      <c r="B11" s="371"/>
      <c r="C11" s="45" t="s">
        <v>47</v>
      </c>
      <c r="D11" s="777" t="s">
        <v>76</v>
      </c>
      <c r="E11" s="158"/>
      <c r="F11" s="158"/>
      <c r="G11" s="158"/>
      <c r="H11" s="158"/>
      <c r="I11" s="158"/>
      <c r="J11" s="158"/>
      <c r="K11" s="158"/>
    </row>
    <row r="12" spans="1:13" s="79" customFormat="1" ht="17.25" customHeight="1" x14ac:dyDescent="0.25">
      <c r="A12" s="78"/>
      <c r="B12" s="371"/>
      <c r="C12" s="45" t="s">
        <v>245</v>
      </c>
      <c r="D12" s="777">
        <v>2023</v>
      </c>
      <c r="E12" s="158"/>
      <c r="F12" s="158"/>
      <c r="G12" s="158"/>
      <c r="H12" s="158"/>
      <c r="I12" s="158"/>
      <c r="J12" s="158"/>
      <c r="K12" s="158"/>
    </row>
    <row r="13" spans="1:13" s="79" customFormat="1" ht="17.25" customHeight="1" x14ac:dyDescent="0.25">
      <c r="A13" s="78"/>
      <c r="B13" s="371"/>
      <c r="C13" s="634" t="s">
        <v>2</v>
      </c>
      <c r="D13" s="778">
        <f>+D12+3</f>
        <v>2026</v>
      </c>
      <c r="E13" s="158"/>
      <c r="F13" s="158"/>
      <c r="G13" s="158"/>
      <c r="H13" s="158"/>
      <c r="I13" s="158"/>
      <c r="J13" s="158"/>
      <c r="K13" s="158"/>
    </row>
    <row r="14" spans="1:13" s="79" customFormat="1" ht="17.25" customHeight="1" x14ac:dyDescent="0.25">
      <c r="A14" s="78"/>
      <c r="B14" s="371"/>
      <c r="C14" s="635" t="s">
        <v>317</v>
      </c>
      <c r="D14" s="774"/>
      <c r="E14" s="754"/>
      <c r="F14" s="755"/>
      <c r="G14" s="777">
        <v>12</v>
      </c>
      <c r="H14" s="777">
        <v>12</v>
      </c>
      <c r="I14" s="777">
        <v>12</v>
      </c>
      <c r="J14" s="777">
        <v>12</v>
      </c>
      <c r="K14" s="777">
        <v>12</v>
      </c>
      <c r="L14" s="777">
        <v>12</v>
      </c>
      <c r="M14" s="431"/>
    </row>
    <row r="15" spans="1:13" s="79" customFormat="1" ht="17.25" customHeight="1" x14ac:dyDescent="0.25">
      <c r="A15" s="78"/>
      <c r="B15" s="371"/>
      <c r="C15" s="635" t="s">
        <v>49</v>
      </c>
      <c r="D15" s="774"/>
      <c r="E15" s="754"/>
      <c r="F15" s="755"/>
      <c r="G15" s="619">
        <f t="shared" ref="G15:L15" si="1">+G14*365/12</f>
        <v>365</v>
      </c>
      <c r="H15" s="619">
        <f t="shared" si="1"/>
        <v>365</v>
      </c>
      <c r="I15" s="619">
        <f t="shared" si="1"/>
        <v>365</v>
      </c>
      <c r="J15" s="619">
        <f t="shared" si="1"/>
        <v>365</v>
      </c>
      <c r="K15" s="619">
        <f t="shared" si="1"/>
        <v>365</v>
      </c>
      <c r="L15" s="619">
        <f t="shared" si="1"/>
        <v>365</v>
      </c>
      <c r="M15" s="431"/>
    </row>
    <row r="16" spans="1:13" ht="9.75" customHeight="1" x14ac:dyDescent="0.25">
      <c r="E16" s="143"/>
    </row>
    <row r="17" spans="1:11" s="144" customFormat="1" ht="17.25" customHeight="1" x14ac:dyDescent="0.25">
      <c r="A17" s="21"/>
      <c r="B17" s="370"/>
      <c r="C17" s="156" t="s">
        <v>16</v>
      </c>
      <c r="D17" s="142"/>
      <c r="E17" s="143"/>
      <c r="F17" s="143"/>
      <c r="G17" s="143"/>
      <c r="H17" s="143"/>
      <c r="I17" s="143"/>
      <c r="J17" s="143"/>
      <c r="K17" s="143"/>
    </row>
    <row r="18" spans="1:11" ht="17.25" customHeight="1" x14ac:dyDescent="0.2">
      <c r="C18" s="101" t="s">
        <v>17</v>
      </c>
      <c r="D18" s="779">
        <v>0.21</v>
      </c>
      <c r="E18" s="570" t="s">
        <v>503</v>
      </c>
    </row>
    <row r="19" spans="1:11" ht="17.25" customHeight="1" x14ac:dyDescent="0.2">
      <c r="C19" s="101" t="s">
        <v>222</v>
      </c>
      <c r="D19" s="780">
        <v>1.4999999999999999E-2</v>
      </c>
      <c r="E19" s="348" t="s">
        <v>293</v>
      </c>
    </row>
    <row r="20" spans="1:11" ht="17.25" customHeight="1" x14ac:dyDescent="0.2">
      <c r="B20" s="372"/>
      <c r="C20" s="101" t="s">
        <v>77</v>
      </c>
      <c r="D20" s="780">
        <v>0.15</v>
      </c>
      <c r="E20" s="348" t="s">
        <v>420</v>
      </c>
    </row>
    <row r="21" spans="1:11" ht="17.25" customHeight="1" x14ac:dyDescent="0.2">
      <c r="C21" s="284" t="s">
        <v>694</v>
      </c>
      <c r="D21" s="779">
        <v>0.04</v>
      </c>
      <c r="E21" s="570" t="s">
        <v>504</v>
      </c>
    </row>
    <row r="22" spans="1:11" ht="17.25" customHeight="1" x14ac:dyDescent="0.2">
      <c r="C22" s="101" t="s">
        <v>80</v>
      </c>
      <c r="D22" s="779">
        <v>0.23749999999999999</v>
      </c>
      <c r="E22" s="570" t="s">
        <v>504</v>
      </c>
    </row>
    <row r="23" spans="1:11" ht="17.25" customHeight="1" x14ac:dyDescent="0.2">
      <c r="C23" s="101" t="s">
        <v>79</v>
      </c>
      <c r="D23" s="779">
        <v>0.11</v>
      </c>
      <c r="E23" s="570" t="s">
        <v>504</v>
      </c>
    </row>
    <row r="24" spans="1:11" ht="17.25" customHeight="1" x14ac:dyDescent="0.2">
      <c r="C24" s="101" t="s">
        <v>385</v>
      </c>
      <c r="D24" s="779">
        <v>9.2499999999999995E-3</v>
      </c>
      <c r="E24" s="570" t="s">
        <v>504</v>
      </c>
    </row>
    <row r="25" spans="1:11" ht="17.25" customHeight="1" x14ac:dyDescent="0.2">
      <c r="C25" s="101" t="s">
        <v>218</v>
      </c>
      <c r="D25" s="779">
        <v>7.5000000000000002E-4</v>
      </c>
      <c r="E25" s="570" t="s">
        <v>504</v>
      </c>
    </row>
    <row r="26" spans="1:11" s="44" customFormat="1" ht="17.25" customHeight="1" x14ac:dyDescent="0.2">
      <c r="A26" s="42"/>
      <c r="B26" s="373"/>
      <c r="C26" s="101" t="s">
        <v>219</v>
      </c>
      <c r="D26" s="779">
        <v>0.01</v>
      </c>
      <c r="E26" s="570" t="s">
        <v>504</v>
      </c>
      <c r="F26" s="43"/>
      <c r="G26" s="43"/>
      <c r="H26" s="43"/>
      <c r="I26" s="43"/>
      <c r="J26" s="43"/>
      <c r="K26" s="43"/>
    </row>
    <row r="27" spans="1:11" s="44" customFormat="1" ht="17.25" customHeight="1" x14ac:dyDescent="0.2">
      <c r="A27" s="42"/>
      <c r="B27" s="373"/>
      <c r="C27" s="101" t="s">
        <v>386</v>
      </c>
      <c r="D27" s="779">
        <v>0.23</v>
      </c>
      <c r="E27" s="570" t="s">
        <v>293</v>
      </c>
      <c r="F27" s="43"/>
      <c r="G27" s="43"/>
      <c r="H27" s="43"/>
      <c r="I27" s="43"/>
      <c r="J27" s="43"/>
      <c r="K27" s="43"/>
    </row>
    <row r="28" spans="1:11" s="44" customFormat="1" ht="17.25" customHeight="1" x14ac:dyDescent="0.2">
      <c r="A28" s="42"/>
      <c r="B28" s="373"/>
      <c r="C28" s="101" t="s">
        <v>387</v>
      </c>
      <c r="D28" s="779">
        <v>0.13</v>
      </c>
      <c r="E28" s="570" t="s">
        <v>293</v>
      </c>
      <c r="F28" s="43"/>
      <c r="G28" s="43"/>
      <c r="H28" s="43"/>
      <c r="I28" s="43"/>
      <c r="J28" s="43"/>
      <c r="K28" s="43"/>
    </row>
    <row r="29" spans="1:11" s="44" customFormat="1" ht="17.25" customHeight="1" x14ac:dyDescent="0.2">
      <c r="A29" s="42"/>
      <c r="B29" s="373"/>
      <c r="C29" s="101" t="s">
        <v>388</v>
      </c>
      <c r="D29" s="779">
        <v>0.06</v>
      </c>
      <c r="E29" s="570" t="s">
        <v>293</v>
      </c>
      <c r="F29" s="43"/>
      <c r="G29" s="43"/>
      <c r="H29" s="43"/>
      <c r="I29" s="43"/>
      <c r="J29" s="43"/>
      <c r="K29" s="43"/>
    </row>
    <row r="30" spans="1:11" s="44" customFormat="1" ht="17.25" customHeight="1" x14ac:dyDescent="0.2">
      <c r="A30" s="42"/>
      <c r="B30" s="373"/>
      <c r="C30" s="101" t="s">
        <v>389</v>
      </c>
      <c r="D30" s="779">
        <v>0</v>
      </c>
      <c r="E30" s="570" t="s">
        <v>294</v>
      </c>
      <c r="F30" s="43"/>
      <c r="G30" s="43"/>
      <c r="H30" s="43"/>
      <c r="I30" s="43"/>
      <c r="J30" s="43"/>
      <c r="K30" s="43"/>
    </row>
    <row r="31" spans="1:11" ht="6.95" customHeight="1" x14ac:dyDescent="0.2">
      <c r="D31" s="35"/>
    </row>
    <row r="32" spans="1:11" s="79" customFormat="1" ht="17.25" customHeight="1" x14ac:dyDescent="0.25">
      <c r="A32" s="78"/>
      <c r="B32" s="371"/>
      <c r="C32" s="160" t="s">
        <v>351</v>
      </c>
      <c r="D32" s="157"/>
      <c r="E32" s="158"/>
      <c r="F32" s="158"/>
      <c r="G32" s="158"/>
      <c r="H32" s="158"/>
      <c r="I32" s="158"/>
      <c r="J32" s="158"/>
      <c r="K32" s="158"/>
    </row>
    <row r="33" spans="1:13" ht="17.25" customHeight="1" x14ac:dyDescent="0.2">
      <c r="C33" s="159" t="s">
        <v>352</v>
      </c>
      <c r="D33" s="781">
        <v>5</v>
      </c>
      <c r="E33" s="348" t="s">
        <v>421</v>
      </c>
      <c r="F33" s="158"/>
      <c r="G33" s="158"/>
      <c r="H33" s="158"/>
      <c r="I33" s="158"/>
      <c r="J33" s="158"/>
      <c r="K33" s="158"/>
    </row>
    <row r="34" spans="1:13" ht="6.95" customHeight="1" x14ac:dyDescent="0.2">
      <c r="D34" s="35"/>
    </row>
    <row r="35" spans="1:13" s="79" customFormat="1" ht="17.25" customHeight="1" x14ac:dyDescent="0.25">
      <c r="A35" s="78"/>
      <c r="B35" s="371"/>
      <c r="C35" s="620" t="s">
        <v>36</v>
      </c>
      <c r="D35" s="307"/>
      <c r="E35" s="307"/>
      <c r="F35" s="307"/>
      <c r="G35" s="307"/>
      <c r="H35" s="307"/>
      <c r="I35" s="307"/>
      <c r="J35" s="307"/>
      <c r="K35" s="307"/>
      <c r="L35" s="157"/>
    </row>
    <row r="36" spans="1:13" ht="17.25" customHeight="1" x14ac:dyDescent="0.2">
      <c r="C36" s="621" t="s">
        <v>50</v>
      </c>
      <c r="D36" s="750"/>
      <c r="E36" s="750"/>
      <c r="F36" s="751"/>
      <c r="G36" s="782">
        <v>0.02</v>
      </c>
      <c r="H36" s="782">
        <v>0.02</v>
      </c>
      <c r="I36" s="782">
        <v>0.02</v>
      </c>
      <c r="J36" s="782">
        <v>0.02</v>
      </c>
      <c r="K36" s="782">
        <v>0.02</v>
      </c>
      <c r="L36" s="782">
        <v>0.02</v>
      </c>
    </row>
    <row r="37" spans="1:13" ht="17.25" customHeight="1" x14ac:dyDescent="0.2">
      <c r="C37" s="621" t="s">
        <v>547</v>
      </c>
      <c r="D37" s="750"/>
      <c r="E37" s="750"/>
      <c r="F37" s="751"/>
      <c r="G37" s="782">
        <v>0.01</v>
      </c>
      <c r="H37" s="782">
        <v>0.01</v>
      </c>
      <c r="I37" s="782">
        <v>0.01</v>
      </c>
      <c r="J37" s="782">
        <v>0.01</v>
      </c>
      <c r="K37" s="782">
        <v>0.01</v>
      </c>
      <c r="L37" s="782">
        <v>0.01</v>
      </c>
    </row>
    <row r="38" spans="1:13" ht="6.75" customHeight="1" x14ac:dyDescent="0.2"/>
    <row r="39" spans="1:13" s="165" customFormat="1" ht="17.25" customHeight="1" x14ac:dyDescent="0.25">
      <c r="A39" s="163"/>
      <c r="B39" s="374"/>
      <c r="C39" s="166" t="s">
        <v>214</v>
      </c>
      <c r="D39" s="161"/>
      <c r="E39" s="161"/>
      <c r="F39" s="161"/>
      <c r="G39" s="161"/>
      <c r="H39" s="161"/>
      <c r="I39" s="161"/>
      <c r="J39" s="161"/>
      <c r="K39" s="161"/>
      <c r="L39" s="164"/>
    </row>
    <row r="40" spans="1:13" ht="6.75" customHeight="1" x14ac:dyDescent="0.2"/>
    <row r="41" spans="1:13" ht="30" customHeight="1" x14ac:dyDescent="0.2">
      <c r="C41" s="47" t="s">
        <v>198</v>
      </c>
      <c r="D41" s="348" t="s">
        <v>499</v>
      </c>
    </row>
    <row r="42" spans="1:13" ht="30" customHeight="1" x14ac:dyDescent="0.2">
      <c r="C42" s="48" t="s">
        <v>199</v>
      </c>
      <c r="D42" s="348" t="s">
        <v>500</v>
      </c>
    </row>
    <row r="43" spans="1:13" ht="6.75" customHeight="1" x14ac:dyDescent="0.2"/>
    <row r="44" spans="1:13" s="79" customFormat="1" ht="17.25" customHeight="1" x14ac:dyDescent="0.25">
      <c r="A44" s="78"/>
      <c r="B44" s="371"/>
      <c r="C44" s="485" t="s">
        <v>213</v>
      </c>
      <c r="D44" s="624"/>
      <c r="E44" s="625"/>
      <c r="F44" s="625"/>
      <c r="G44" s="347">
        <f t="shared" ref="G44:L44" si="2">+G47+G49+G51</f>
        <v>40000</v>
      </c>
      <c r="H44" s="347">
        <f t="shared" si="2"/>
        <v>48960</v>
      </c>
      <c r="I44" s="347">
        <f t="shared" si="2"/>
        <v>59927.040000000001</v>
      </c>
      <c r="J44" s="347">
        <f t="shared" si="2"/>
        <v>73350.696960000001</v>
      </c>
      <c r="K44" s="347">
        <f t="shared" si="2"/>
        <v>89781.253079040005</v>
      </c>
      <c r="L44" s="347">
        <f t="shared" si="2"/>
        <v>109892.25376874495</v>
      </c>
      <c r="M44" s="176"/>
    </row>
    <row r="45" spans="1:13" s="176" customFormat="1" ht="17.25" customHeight="1" x14ac:dyDescent="0.25">
      <c r="A45" s="174"/>
      <c r="B45" s="375"/>
      <c r="C45" s="485" t="s">
        <v>397</v>
      </c>
      <c r="D45" s="624"/>
      <c r="E45" s="625"/>
      <c r="F45" s="625"/>
      <c r="G45" s="347">
        <f t="shared" ref="G45:L45" si="3">+G48+G50+G52</f>
        <v>9200</v>
      </c>
      <c r="H45" s="347">
        <f t="shared" si="3"/>
        <v>11260.800000000001</v>
      </c>
      <c r="I45" s="347">
        <f t="shared" si="3"/>
        <v>13783.219200000001</v>
      </c>
      <c r="J45" s="347">
        <f t="shared" si="3"/>
        <v>16870.660300800002</v>
      </c>
      <c r="K45" s="347">
        <f t="shared" si="3"/>
        <v>20649.688208179203</v>
      </c>
      <c r="L45" s="347">
        <f t="shared" si="3"/>
        <v>25275.218366811339</v>
      </c>
    </row>
    <row r="46" spans="1:13" ht="6.75" customHeight="1" x14ac:dyDescent="0.2">
      <c r="L46" s="35"/>
    </row>
    <row r="47" spans="1:13" s="176" customFormat="1" ht="17.25" customHeight="1" x14ac:dyDescent="0.25">
      <c r="A47" s="174"/>
      <c r="B47" s="375"/>
      <c r="C47" s="485" t="s">
        <v>435</v>
      </c>
      <c r="D47" s="622"/>
      <c r="E47" s="622"/>
      <c r="F47" s="622"/>
      <c r="G47" s="347">
        <f t="shared" ref="G47:L47" si="4">+SUMIF($C$54:$C$10078,$C$47,G$54:G$10078)</f>
        <v>0</v>
      </c>
      <c r="H47" s="347">
        <f t="shared" si="4"/>
        <v>0</v>
      </c>
      <c r="I47" s="347">
        <f t="shared" si="4"/>
        <v>0</v>
      </c>
      <c r="J47" s="347">
        <f t="shared" si="4"/>
        <v>0</v>
      </c>
      <c r="K47" s="347">
        <f t="shared" si="4"/>
        <v>0</v>
      </c>
      <c r="L47" s="347">
        <f t="shared" si="4"/>
        <v>0</v>
      </c>
    </row>
    <row r="48" spans="1:13" s="176" customFormat="1" ht="17.25" customHeight="1" x14ac:dyDescent="0.25">
      <c r="A48" s="174"/>
      <c r="B48" s="375"/>
      <c r="C48" s="507" t="s">
        <v>438</v>
      </c>
      <c r="D48" s="623"/>
      <c r="E48" s="625"/>
      <c r="F48" s="625"/>
      <c r="G48" s="508">
        <f t="shared" ref="G48:L48" si="5">+SUMIF($C$54:$C$10078,$C$48,G$54:G$10078)</f>
        <v>0</v>
      </c>
      <c r="H48" s="508">
        <f t="shared" si="5"/>
        <v>0</v>
      </c>
      <c r="I48" s="508">
        <f t="shared" si="5"/>
        <v>0</v>
      </c>
      <c r="J48" s="508">
        <f t="shared" si="5"/>
        <v>0</v>
      </c>
      <c r="K48" s="508">
        <f t="shared" si="5"/>
        <v>0</v>
      </c>
      <c r="L48" s="561">
        <f t="shared" si="5"/>
        <v>0</v>
      </c>
    </row>
    <row r="49" spans="1:13" s="176" customFormat="1" ht="17.25" customHeight="1" x14ac:dyDescent="0.25">
      <c r="A49" s="174"/>
      <c r="B49" s="375"/>
      <c r="C49" s="485" t="s">
        <v>436</v>
      </c>
      <c r="D49" s="622"/>
      <c r="E49" s="625"/>
      <c r="F49" s="625"/>
      <c r="G49" s="347">
        <f t="shared" ref="G49:L49" si="6">+SUMIF($C$54:$C$10078,$C$49,G$54:G$10078)</f>
        <v>0</v>
      </c>
      <c r="H49" s="347">
        <f t="shared" si="6"/>
        <v>0</v>
      </c>
      <c r="I49" s="347">
        <f t="shared" si="6"/>
        <v>0</v>
      </c>
      <c r="J49" s="347">
        <f t="shared" si="6"/>
        <v>0</v>
      </c>
      <c r="K49" s="347">
        <f t="shared" si="6"/>
        <v>0</v>
      </c>
      <c r="L49" s="512">
        <f t="shared" si="6"/>
        <v>0</v>
      </c>
    </row>
    <row r="50" spans="1:13" s="176" customFormat="1" ht="17.25" customHeight="1" x14ac:dyDescent="0.25">
      <c r="A50" s="174"/>
      <c r="B50" s="375"/>
      <c r="C50" s="507" t="s">
        <v>439</v>
      </c>
      <c r="D50" s="623"/>
      <c r="E50" s="625"/>
      <c r="F50" s="625"/>
      <c r="G50" s="508">
        <f t="shared" ref="G50:L50" si="7">+SUMIF($C$54:$C$10078,$C$50,G$54:G$10078)</f>
        <v>0</v>
      </c>
      <c r="H50" s="508">
        <f t="shared" si="7"/>
        <v>0</v>
      </c>
      <c r="I50" s="508">
        <f t="shared" si="7"/>
        <v>0</v>
      </c>
      <c r="J50" s="508">
        <f t="shared" si="7"/>
        <v>0</v>
      </c>
      <c r="K50" s="508">
        <f t="shared" si="7"/>
        <v>0</v>
      </c>
      <c r="L50" s="561">
        <f t="shared" si="7"/>
        <v>0</v>
      </c>
    </row>
    <row r="51" spans="1:13" s="176" customFormat="1" ht="17.25" customHeight="1" x14ac:dyDescent="0.25">
      <c r="A51" s="174"/>
      <c r="B51" s="375"/>
      <c r="C51" s="485" t="s">
        <v>437</v>
      </c>
      <c r="D51" s="622"/>
      <c r="E51" s="625"/>
      <c r="F51" s="625"/>
      <c r="G51" s="347">
        <f t="shared" ref="G51:L51" si="8">+SUMIF($C$54:$C$10078,$C$51,G$54:G$10078)</f>
        <v>40000</v>
      </c>
      <c r="H51" s="347">
        <f t="shared" si="8"/>
        <v>48960</v>
      </c>
      <c r="I51" s="347">
        <f t="shared" si="8"/>
        <v>59927.040000000001</v>
      </c>
      <c r="J51" s="347">
        <f t="shared" si="8"/>
        <v>73350.696960000001</v>
      </c>
      <c r="K51" s="347">
        <f t="shared" si="8"/>
        <v>89781.253079040005</v>
      </c>
      <c r="L51" s="512">
        <f t="shared" si="8"/>
        <v>109892.25376874495</v>
      </c>
    </row>
    <row r="52" spans="1:13" s="176" customFormat="1" ht="17.25" customHeight="1" x14ac:dyDescent="0.25">
      <c r="A52" s="174"/>
      <c r="B52" s="375"/>
      <c r="C52" s="507" t="s">
        <v>440</v>
      </c>
      <c r="D52" s="623"/>
      <c r="E52" s="625"/>
      <c r="F52" s="625"/>
      <c r="G52" s="508">
        <f t="shared" ref="G52:L52" si="9">+SUMIF($C$54:$C$10078,$C$52,G$54:G$10078)</f>
        <v>9200</v>
      </c>
      <c r="H52" s="508">
        <f t="shared" si="9"/>
        <v>11260.800000000001</v>
      </c>
      <c r="I52" s="508">
        <f t="shared" si="9"/>
        <v>13783.219200000001</v>
      </c>
      <c r="J52" s="508">
        <f t="shared" si="9"/>
        <v>16870.660300800002</v>
      </c>
      <c r="K52" s="508">
        <f t="shared" si="9"/>
        <v>20649.688208179203</v>
      </c>
      <c r="L52" s="561">
        <f t="shared" si="9"/>
        <v>25275.218366811339</v>
      </c>
    </row>
    <row r="53" spans="1:13" ht="6.75" customHeight="1" x14ac:dyDescent="0.2">
      <c r="L53" s="35"/>
    </row>
    <row r="54" spans="1:13" s="79" customFormat="1" ht="17.25" customHeight="1" x14ac:dyDescent="0.25">
      <c r="A54" s="78"/>
      <c r="B54" s="376"/>
      <c r="C54" s="192" t="s">
        <v>435</v>
      </c>
      <c r="D54" s="636" t="s">
        <v>550</v>
      </c>
      <c r="E54" s="636" t="s">
        <v>551</v>
      </c>
      <c r="F54" s="785" t="s">
        <v>577</v>
      </c>
      <c r="G54" s="626">
        <f t="shared" ref="G54:L54" si="10">+G56*G57</f>
        <v>0</v>
      </c>
      <c r="H54" s="512">
        <f t="shared" si="10"/>
        <v>0</v>
      </c>
      <c r="I54" s="512">
        <f t="shared" si="10"/>
        <v>0</v>
      </c>
      <c r="J54" s="512">
        <f t="shared" si="10"/>
        <v>0</v>
      </c>
      <c r="K54" s="512">
        <f t="shared" si="10"/>
        <v>0</v>
      </c>
      <c r="L54" s="512">
        <f t="shared" si="10"/>
        <v>0</v>
      </c>
      <c r="M54" s="167"/>
    </row>
    <row r="55" spans="1:13" ht="17.25" customHeight="1" x14ac:dyDescent="0.2">
      <c r="B55" s="377"/>
      <c r="C55" s="192" t="s">
        <v>438</v>
      </c>
      <c r="D55" s="783">
        <v>0.23</v>
      </c>
      <c r="E55" s="784">
        <v>0</v>
      </c>
      <c r="F55" s="751"/>
      <c r="G55" s="615">
        <f>+G54*(1-$E$55)*$D$55</f>
        <v>0</v>
      </c>
      <c r="H55" s="615">
        <f t="shared" ref="H55:L55" si="11">+H54*(1-$E$55)*$D$55</f>
        <v>0</v>
      </c>
      <c r="I55" s="615">
        <f t="shared" si="11"/>
        <v>0</v>
      </c>
      <c r="J55" s="615">
        <f t="shared" si="11"/>
        <v>0</v>
      </c>
      <c r="K55" s="615">
        <f t="shared" si="11"/>
        <v>0</v>
      </c>
      <c r="L55" s="615">
        <f t="shared" si="11"/>
        <v>0</v>
      </c>
      <c r="M55" s="46"/>
    </row>
    <row r="56" spans="1:13" ht="17.25" customHeight="1" x14ac:dyDescent="0.2">
      <c r="B56" s="377"/>
      <c r="C56" s="49" t="s">
        <v>549</v>
      </c>
      <c r="D56" s="750"/>
      <c r="E56" s="750"/>
      <c r="F56" s="751"/>
      <c r="G56" s="786"/>
      <c r="H56" s="787">
        <f>+IF($G$14&lt;&gt;0,(G56/$G$14)*$H$14*(1+H$58),0)</f>
        <v>0</v>
      </c>
      <c r="I56" s="787">
        <f>+IF($H$14&lt;&gt;0,(H56/$H$14)*$I$14*(1+I$58),0)</f>
        <v>0</v>
      </c>
      <c r="J56" s="787">
        <f>+IF($I$14&lt;&gt;0,(I56/$I$14)*$J$14*(1+J$58),0)</f>
        <v>0</v>
      </c>
      <c r="K56" s="787">
        <f>+IF($J$14&lt;&gt;0,(J56/$J$14)*$K$14*(1+K$58),0)</f>
        <v>0</v>
      </c>
      <c r="L56" s="787">
        <f>+IF($J$14&lt;&gt;0,(K56/$J$14)*$K$14*(1+L$58),0)</f>
        <v>0</v>
      </c>
      <c r="M56" s="563" t="s">
        <v>553</v>
      </c>
    </row>
    <row r="57" spans="1:13" ht="17.25" customHeight="1" x14ac:dyDescent="0.2">
      <c r="B57" s="377"/>
      <c r="C57" s="49" t="s">
        <v>555</v>
      </c>
      <c r="D57" s="750"/>
      <c r="E57" s="750"/>
      <c r="F57" s="751"/>
      <c r="G57" s="788"/>
      <c r="H57" s="789">
        <f>+G57*(1+$H$36)</f>
        <v>0</v>
      </c>
      <c r="I57" s="789">
        <f>+H57*(1+$I$36)</f>
        <v>0</v>
      </c>
      <c r="J57" s="789">
        <f>+I57*(1+$J$36)</f>
        <v>0</v>
      </c>
      <c r="K57" s="789">
        <f>+J57*(1+$K$36)</f>
        <v>0</v>
      </c>
      <c r="L57" s="789">
        <f>+K57*(1+$K$36)</f>
        <v>0</v>
      </c>
      <c r="M57" s="563" t="s">
        <v>681</v>
      </c>
    </row>
    <row r="58" spans="1:13" ht="17.25" customHeight="1" x14ac:dyDescent="0.2">
      <c r="B58" s="377"/>
      <c r="C58" s="49" t="s">
        <v>548</v>
      </c>
      <c r="D58" s="750"/>
      <c r="E58" s="750"/>
      <c r="F58" s="751"/>
      <c r="G58" s="790">
        <v>0</v>
      </c>
      <c r="H58" s="791"/>
      <c r="I58" s="791"/>
      <c r="J58" s="791"/>
      <c r="K58" s="791"/>
      <c r="L58" s="791"/>
      <c r="M58" s="676" t="s">
        <v>554</v>
      </c>
    </row>
    <row r="59" spans="1:13" s="79" customFormat="1" ht="17.25" customHeight="1" x14ac:dyDescent="0.25">
      <c r="A59" s="78"/>
      <c r="B59" s="376"/>
      <c r="C59" s="192" t="s">
        <v>435</v>
      </c>
      <c r="D59" s="636" t="s">
        <v>550</v>
      </c>
      <c r="E59" s="636" t="s">
        <v>551</v>
      </c>
      <c r="F59" s="785" t="s">
        <v>577</v>
      </c>
      <c r="G59" s="626">
        <f t="shared" ref="G59:L59" si="12">+G61*G62</f>
        <v>0</v>
      </c>
      <c r="H59" s="512">
        <f t="shared" si="12"/>
        <v>0</v>
      </c>
      <c r="I59" s="512">
        <f t="shared" si="12"/>
        <v>0</v>
      </c>
      <c r="J59" s="512">
        <f t="shared" si="12"/>
        <v>0</v>
      </c>
      <c r="K59" s="512">
        <f t="shared" si="12"/>
        <v>0</v>
      </c>
      <c r="L59" s="512">
        <f t="shared" si="12"/>
        <v>0</v>
      </c>
      <c r="M59" s="167"/>
    </row>
    <row r="60" spans="1:13" ht="17.25" customHeight="1" x14ac:dyDescent="0.2">
      <c r="B60" s="377"/>
      <c r="C60" s="192" t="s">
        <v>438</v>
      </c>
      <c r="D60" s="783">
        <v>0.23</v>
      </c>
      <c r="E60" s="784">
        <v>0</v>
      </c>
      <c r="F60" s="751"/>
      <c r="G60" s="615">
        <f t="shared" ref="G60:L60" si="13">+G59*(1-$E$60)*$D$60</f>
        <v>0</v>
      </c>
      <c r="H60" s="615">
        <f t="shared" si="13"/>
        <v>0</v>
      </c>
      <c r="I60" s="615">
        <f t="shared" si="13"/>
        <v>0</v>
      </c>
      <c r="J60" s="615">
        <f t="shared" si="13"/>
        <v>0</v>
      </c>
      <c r="K60" s="615">
        <f t="shared" si="13"/>
        <v>0</v>
      </c>
      <c r="L60" s="615">
        <f t="shared" si="13"/>
        <v>0</v>
      </c>
      <c r="M60" s="46"/>
    </row>
    <row r="61" spans="1:13" ht="17.25" customHeight="1" x14ac:dyDescent="0.2">
      <c r="B61" s="377"/>
      <c r="C61" s="49" t="s">
        <v>549</v>
      </c>
      <c r="D61" s="750"/>
      <c r="E61" s="750"/>
      <c r="F61" s="751"/>
      <c r="G61" s="786"/>
      <c r="H61" s="787">
        <f>+IF($G$14&lt;&gt;0,(G61/$G$14)*$H$14*(1+H$63),0)</f>
        <v>0</v>
      </c>
      <c r="I61" s="787">
        <f>+IF($H$14&lt;&gt;0,(H61/$H$14)*$I$14*(1+I$63),0)</f>
        <v>0</v>
      </c>
      <c r="J61" s="787">
        <f>+IF($I$14&lt;&gt;0,(I61/$I$14)*$J$14*(1+J$63),0)</f>
        <v>0</v>
      </c>
      <c r="K61" s="787">
        <f>+IF($J$14&lt;&gt;0,(J61/$J$14)*$K$14*(1+K$63),0)</f>
        <v>0</v>
      </c>
      <c r="L61" s="787">
        <f>+IF($J$14&lt;&gt;0,(K61/$J$14)*$K$14*(1+L$63),0)</f>
        <v>0</v>
      </c>
      <c r="M61" s="563" t="s">
        <v>553</v>
      </c>
    </row>
    <row r="62" spans="1:13" ht="17.25" customHeight="1" x14ac:dyDescent="0.2">
      <c r="B62" s="377"/>
      <c r="C62" s="49" t="s">
        <v>555</v>
      </c>
      <c r="D62" s="750"/>
      <c r="E62" s="750"/>
      <c r="F62" s="751"/>
      <c r="G62" s="788"/>
      <c r="H62" s="789">
        <f>+G62*(1+$H$36)</f>
        <v>0</v>
      </c>
      <c r="I62" s="789">
        <f>+H62*(1+$I$36)</f>
        <v>0</v>
      </c>
      <c r="J62" s="789">
        <f>+I62*(1+$J$36)</f>
        <v>0</v>
      </c>
      <c r="K62" s="789">
        <f>+J62*(1+$K$36)</f>
        <v>0</v>
      </c>
      <c r="L62" s="789">
        <f>+K62*(1+$K$36)</f>
        <v>0</v>
      </c>
      <c r="M62" s="563" t="s">
        <v>681</v>
      </c>
    </row>
    <row r="63" spans="1:13" ht="17.25" customHeight="1" x14ac:dyDescent="0.2">
      <c r="B63" s="377"/>
      <c r="C63" s="49" t="s">
        <v>548</v>
      </c>
      <c r="D63" s="750"/>
      <c r="E63" s="750"/>
      <c r="F63" s="751"/>
      <c r="G63" s="790">
        <v>0</v>
      </c>
      <c r="H63" s="791"/>
      <c r="I63" s="791"/>
      <c r="J63" s="791"/>
      <c r="K63" s="791"/>
      <c r="L63" s="791"/>
      <c r="M63" s="676" t="s">
        <v>554</v>
      </c>
    </row>
    <row r="64" spans="1:13" ht="6.75" customHeight="1" x14ac:dyDescent="0.2">
      <c r="L64" s="35"/>
    </row>
    <row r="65" spans="1:13" s="79" customFormat="1" ht="17.25" customHeight="1" x14ac:dyDescent="0.25">
      <c r="A65" s="78"/>
      <c r="B65" s="376"/>
      <c r="C65" s="192" t="s">
        <v>436</v>
      </c>
      <c r="D65" s="636" t="s">
        <v>550</v>
      </c>
      <c r="E65" s="636" t="s">
        <v>551</v>
      </c>
      <c r="F65" s="785" t="s">
        <v>577</v>
      </c>
      <c r="G65" s="626">
        <f t="shared" ref="G65:L65" si="14">+G67*G68</f>
        <v>0</v>
      </c>
      <c r="H65" s="512">
        <f t="shared" si="14"/>
        <v>0</v>
      </c>
      <c r="I65" s="512">
        <f t="shared" si="14"/>
        <v>0</v>
      </c>
      <c r="J65" s="512">
        <f t="shared" si="14"/>
        <v>0</v>
      </c>
      <c r="K65" s="512">
        <f t="shared" si="14"/>
        <v>0</v>
      </c>
      <c r="L65" s="512">
        <f t="shared" si="14"/>
        <v>0</v>
      </c>
      <c r="M65" s="167"/>
    </row>
    <row r="66" spans="1:13" ht="17.25" customHeight="1" x14ac:dyDescent="0.2">
      <c r="B66" s="377"/>
      <c r="C66" s="192" t="s">
        <v>439</v>
      </c>
      <c r="D66" s="783">
        <v>0.23</v>
      </c>
      <c r="E66" s="784">
        <v>0</v>
      </c>
      <c r="F66" s="751"/>
      <c r="G66" s="615">
        <f>+G65*(1-$E$66)*$D$66</f>
        <v>0</v>
      </c>
      <c r="H66" s="615">
        <f t="shared" ref="H66:L66" si="15">+H65*(1-$E$66)*$D$66</f>
        <v>0</v>
      </c>
      <c r="I66" s="615">
        <f t="shared" si="15"/>
        <v>0</v>
      </c>
      <c r="J66" s="615">
        <f t="shared" si="15"/>
        <v>0</v>
      </c>
      <c r="K66" s="615">
        <f t="shared" si="15"/>
        <v>0</v>
      </c>
      <c r="L66" s="615">
        <f t="shared" si="15"/>
        <v>0</v>
      </c>
      <c r="M66" s="46"/>
    </row>
    <row r="67" spans="1:13" ht="17.25" customHeight="1" x14ac:dyDescent="0.2">
      <c r="B67" s="377"/>
      <c r="C67" s="49" t="s">
        <v>549</v>
      </c>
      <c r="D67" s="750"/>
      <c r="E67" s="750"/>
      <c r="F67" s="751"/>
      <c r="G67" s="792"/>
      <c r="H67" s="787">
        <f>+IF($H$14&lt;&gt;0,(G67/$G$14)*$H$14*(1+H$69),0)</f>
        <v>0</v>
      </c>
      <c r="I67" s="787">
        <f>+IF($H$14&lt;&gt;0,(H67/$H$14)*$I$14*(1+I$69),0)</f>
        <v>0</v>
      </c>
      <c r="J67" s="787">
        <f>+IF($I$14&lt;&gt;0,(I67/$I$14)*$J$14*(1+J$69),0)</f>
        <v>0</v>
      </c>
      <c r="K67" s="787">
        <f>+IF($J$14&lt;&gt;0,(J67/$J$14)*$K$14*(1+K$69),0)</f>
        <v>0</v>
      </c>
      <c r="L67" s="787">
        <f>+IF($J$14&lt;&gt;0,(K67/$J$14)*$K$14*(1+L$69),0)</f>
        <v>0</v>
      </c>
      <c r="M67" s="563" t="s">
        <v>553</v>
      </c>
    </row>
    <row r="68" spans="1:13" ht="17.25" customHeight="1" x14ac:dyDescent="0.2">
      <c r="B68" s="377"/>
      <c r="C68" s="49" t="s">
        <v>555</v>
      </c>
      <c r="D68" s="750"/>
      <c r="E68" s="750"/>
      <c r="F68" s="751"/>
      <c r="G68" s="793"/>
      <c r="H68" s="794">
        <f>+G68*(1+$I$36)</f>
        <v>0</v>
      </c>
      <c r="I68" s="794">
        <f>+H68*(1+$I$36)</f>
        <v>0</v>
      </c>
      <c r="J68" s="794">
        <f>+I68*(1+$J$36)</f>
        <v>0</v>
      </c>
      <c r="K68" s="794">
        <f>+J68*(1+$K$36)</f>
        <v>0</v>
      </c>
      <c r="L68" s="794">
        <f>+K68*(1+$K$36)</f>
        <v>0</v>
      </c>
      <c r="M68" s="563" t="s">
        <v>681</v>
      </c>
    </row>
    <row r="69" spans="1:13" ht="17.25" customHeight="1" x14ac:dyDescent="0.2">
      <c r="B69" s="377"/>
      <c r="C69" s="49" t="s">
        <v>548</v>
      </c>
      <c r="D69" s="750"/>
      <c r="E69" s="750"/>
      <c r="F69" s="751"/>
      <c r="G69" s="784">
        <v>0</v>
      </c>
      <c r="H69" s="782"/>
      <c r="I69" s="782"/>
      <c r="J69" s="782"/>
      <c r="K69" s="782"/>
      <c r="L69" s="782"/>
      <c r="M69" s="676" t="s">
        <v>554</v>
      </c>
    </row>
    <row r="70" spans="1:13" ht="6.75" customHeight="1" x14ac:dyDescent="0.2">
      <c r="L70" s="35"/>
    </row>
    <row r="71" spans="1:13" s="79" customFormat="1" ht="17.25" customHeight="1" x14ac:dyDescent="0.25">
      <c r="A71" s="78"/>
      <c r="B71" s="376"/>
      <c r="C71" s="192" t="s">
        <v>437</v>
      </c>
      <c r="D71" s="636" t="s">
        <v>550</v>
      </c>
      <c r="E71" s="636" t="s">
        <v>551</v>
      </c>
      <c r="F71" s="785" t="s">
        <v>577</v>
      </c>
      <c r="G71" s="626">
        <f t="shared" ref="G71:L71" si="16">+G73*G74</f>
        <v>40000</v>
      </c>
      <c r="H71" s="512">
        <f t="shared" si="16"/>
        <v>48960</v>
      </c>
      <c r="I71" s="512">
        <f t="shared" si="16"/>
        <v>59927.040000000001</v>
      </c>
      <c r="J71" s="512">
        <f t="shared" si="16"/>
        <v>73350.696960000001</v>
      </c>
      <c r="K71" s="512">
        <f t="shared" si="16"/>
        <v>89781.253079040005</v>
      </c>
      <c r="L71" s="512">
        <f t="shared" si="16"/>
        <v>109892.25376874495</v>
      </c>
      <c r="M71" s="167"/>
    </row>
    <row r="72" spans="1:13" ht="17.25" customHeight="1" x14ac:dyDescent="0.2">
      <c r="B72" s="377"/>
      <c r="C72" s="192" t="s">
        <v>440</v>
      </c>
      <c r="D72" s="783">
        <v>0.23</v>
      </c>
      <c r="E72" s="784">
        <v>0</v>
      </c>
      <c r="F72" s="751"/>
      <c r="G72" s="615">
        <f>+G71*(1-$E$72)*$D$72</f>
        <v>9200</v>
      </c>
      <c r="H72" s="615">
        <f t="shared" ref="H72:L72" si="17">+H71*(1-$E$72)*$D$72</f>
        <v>11260.800000000001</v>
      </c>
      <c r="I72" s="615">
        <f t="shared" si="17"/>
        <v>13783.219200000001</v>
      </c>
      <c r="J72" s="615">
        <f t="shared" si="17"/>
        <v>16870.660300800002</v>
      </c>
      <c r="K72" s="615">
        <f t="shared" si="17"/>
        <v>20649.688208179203</v>
      </c>
      <c r="L72" s="615">
        <f t="shared" si="17"/>
        <v>25275.218366811339</v>
      </c>
      <c r="M72" s="46"/>
    </row>
    <row r="73" spans="1:13" ht="17.25" customHeight="1" x14ac:dyDescent="0.2">
      <c r="B73" s="377"/>
      <c r="C73" s="49" t="s">
        <v>549</v>
      </c>
      <c r="D73" s="750"/>
      <c r="E73" s="750"/>
      <c r="F73" s="751"/>
      <c r="G73" s="792">
        <v>8000</v>
      </c>
      <c r="H73" s="787">
        <f>+IF($H$14&lt;&gt;0,(G73/$G$14)*$H$14*(1+H$75),0)</f>
        <v>9600</v>
      </c>
      <c r="I73" s="787">
        <f>+IF($H$14&lt;&gt;0,(H73/$H$14)*$I$14*(1+I$75),0)</f>
        <v>11520</v>
      </c>
      <c r="J73" s="787">
        <f>+IF($I$14&lt;&gt;0,(I73/$I$14)*$J$14*(1+J$75),0)</f>
        <v>13824</v>
      </c>
      <c r="K73" s="787">
        <f>+IF($J$14&lt;&gt;0,(J73/$J$14)*$K$14*(1+K$75),0)</f>
        <v>16588.8</v>
      </c>
      <c r="L73" s="787">
        <f>+IF($J$14&lt;&gt;0,(K73/$J$14)*$K$14*(1+L$75),0)</f>
        <v>19906.559999999998</v>
      </c>
      <c r="M73" s="563" t="s">
        <v>553</v>
      </c>
    </row>
    <row r="74" spans="1:13" ht="17.25" customHeight="1" x14ac:dyDescent="0.2">
      <c r="B74" s="377"/>
      <c r="C74" s="49" t="s">
        <v>555</v>
      </c>
      <c r="D74" s="750"/>
      <c r="E74" s="750"/>
      <c r="F74" s="751"/>
      <c r="G74" s="794">
        <v>5</v>
      </c>
      <c r="H74" s="795">
        <f>+G74*(1+$H$36)</f>
        <v>5.0999999999999996</v>
      </c>
      <c r="I74" s="794">
        <f>+H74*(1+$I$36)</f>
        <v>5.202</v>
      </c>
      <c r="J74" s="794">
        <f>+I74*(1+$J$36)</f>
        <v>5.3060400000000003</v>
      </c>
      <c r="K74" s="794">
        <f>+J74*(1+$K$36)</f>
        <v>5.4121608000000005</v>
      </c>
      <c r="L74" s="794">
        <f>+K74*(1+$K$36)</f>
        <v>5.5204040160000005</v>
      </c>
      <c r="M74" s="563" t="s">
        <v>681</v>
      </c>
    </row>
    <row r="75" spans="1:13" ht="17.25" customHeight="1" x14ac:dyDescent="0.2">
      <c r="B75" s="377"/>
      <c r="C75" s="49" t="s">
        <v>548</v>
      </c>
      <c r="D75" s="750"/>
      <c r="E75" s="750"/>
      <c r="F75" s="751"/>
      <c r="G75" s="784">
        <v>0.2</v>
      </c>
      <c r="H75" s="784">
        <v>0.2</v>
      </c>
      <c r="I75" s="784">
        <v>0.2</v>
      </c>
      <c r="J75" s="784">
        <v>0.2</v>
      </c>
      <c r="K75" s="784">
        <v>0.2</v>
      </c>
      <c r="L75" s="784">
        <v>0.2</v>
      </c>
      <c r="M75" s="676" t="s">
        <v>554</v>
      </c>
    </row>
    <row r="76" spans="1:13" ht="22.5" customHeight="1" x14ac:dyDescent="0.2"/>
    <row r="77" spans="1:13" s="165" customFormat="1" ht="17.25" customHeight="1" x14ac:dyDescent="0.25">
      <c r="A77" s="163"/>
      <c r="B77" s="374"/>
      <c r="C77" s="166" t="s">
        <v>302</v>
      </c>
      <c r="D77" s="161"/>
      <c r="E77" s="161"/>
      <c r="F77" s="161"/>
      <c r="G77" s="161"/>
      <c r="H77" s="161"/>
      <c r="I77" s="161"/>
      <c r="J77" s="161"/>
      <c r="K77" s="161"/>
      <c r="L77" s="164"/>
    </row>
    <row r="78" spans="1:13" ht="6.75" customHeight="1" x14ac:dyDescent="0.2"/>
    <row r="79" spans="1:13" s="79" customFormat="1" ht="17.25" customHeight="1" x14ac:dyDescent="0.25">
      <c r="A79" s="78"/>
      <c r="B79" s="376"/>
      <c r="C79" s="513" t="s">
        <v>398</v>
      </c>
      <c r="D79" s="169" t="s">
        <v>575</v>
      </c>
      <c r="E79" s="170"/>
      <c r="F79" s="171"/>
      <c r="G79" s="171"/>
      <c r="H79" s="171"/>
      <c r="I79" s="171"/>
      <c r="J79" s="171"/>
      <c r="K79" s="171"/>
      <c r="L79" s="171"/>
    </row>
    <row r="80" spans="1:13" ht="6.75" customHeight="1" x14ac:dyDescent="0.2"/>
    <row r="81" spans="1:12" ht="17.25" customHeight="1" x14ac:dyDescent="0.2">
      <c r="C81" s="105" t="s">
        <v>200</v>
      </c>
      <c r="D81" s="624"/>
      <c r="E81" s="237"/>
      <c r="F81" s="237"/>
      <c r="G81" s="627">
        <f t="shared" ref="G81:L81" si="18">+SUMIF($C$88:$C$10090,"Custo Mercadorias Vendidas (CMV)",G$88:G$10090)+SUMIF($C$88:$C$10090,"Custo Matérias Consumidas (CMC)",G$88:G$10090)</f>
        <v>0</v>
      </c>
      <c r="H81" s="511">
        <f t="shared" si="18"/>
        <v>0</v>
      </c>
      <c r="I81" s="511">
        <f t="shared" si="18"/>
        <v>0</v>
      </c>
      <c r="J81" s="511">
        <f t="shared" si="18"/>
        <v>0</v>
      </c>
      <c r="K81" s="511">
        <f t="shared" si="18"/>
        <v>0</v>
      </c>
      <c r="L81" s="511">
        <f t="shared" si="18"/>
        <v>0</v>
      </c>
    </row>
    <row r="82" spans="1:12" s="176" customFormat="1" ht="17.25" customHeight="1" x14ac:dyDescent="0.25">
      <c r="A82" s="174"/>
      <c r="B82" s="375"/>
      <c r="C82" s="105" t="s">
        <v>298</v>
      </c>
      <c r="D82" s="624"/>
      <c r="E82" s="625"/>
      <c r="F82" s="625"/>
      <c r="G82" s="627">
        <f>+IFERROR(SUMIF($C$88:$C$10090,"Compras",G$88:G$10090),"0")</f>
        <v>0</v>
      </c>
      <c r="H82" s="511">
        <f>+SUMIF($C$88:$C$10090,"Compras",H$88:H$10090)</f>
        <v>0</v>
      </c>
      <c r="I82" s="511">
        <f>+SUMIF($C$88:$C$10090,"Compras",I$88:I$10090)</f>
        <v>0</v>
      </c>
      <c r="J82" s="511">
        <f>+SUMIF($C$88:$C$10090,"Compras",J$88:J$10090)</f>
        <v>0</v>
      </c>
      <c r="K82" s="511">
        <f>+SUMIF($C$88:$C$10090,"Compras",K$88:K$10090)</f>
        <v>0</v>
      </c>
      <c r="L82" s="511">
        <f>+SUMIF($C$88:$C$10090,"Compras",L$88:L$10090)</f>
        <v>0</v>
      </c>
    </row>
    <row r="83" spans="1:12" s="176" customFormat="1" ht="17.25" customHeight="1" x14ac:dyDescent="0.25">
      <c r="A83" s="174"/>
      <c r="B83" s="375"/>
      <c r="C83" s="105" t="s">
        <v>447</v>
      </c>
      <c r="D83" s="624"/>
      <c r="E83" s="625"/>
      <c r="F83" s="625"/>
      <c r="G83" s="627">
        <f>+IFERROR(SUMIF($C$88:$C$10090,"IVA Compras",G$88:G$10090),"0")</f>
        <v>0</v>
      </c>
      <c r="H83" s="511">
        <f>+SUMIF($C$88:$C$10090,"IVA Compras",H$88:H$10090)</f>
        <v>0</v>
      </c>
      <c r="I83" s="511">
        <f>+SUMIF($C$88:$C$10090,"IVA Compras",I$88:I$10090)</f>
        <v>0</v>
      </c>
      <c r="J83" s="511">
        <f>+SUMIF($C$88:$C$10090,"IVA Compras",J$88:J$10090)</f>
        <v>0</v>
      </c>
      <c r="K83" s="511">
        <f>+SUMIF($C$88:$C$10090,"IVA Compras",K$88:K$10090)</f>
        <v>0</v>
      </c>
      <c r="L83" s="511">
        <f>+SUMIF($C$88:$C$10090,"IVA Compras",L$88:L$10090)</f>
        <v>0</v>
      </c>
    </row>
    <row r="84" spans="1:12" s="176" customFormat="1" ht="17.25" customHeight="1" x14ac:dyDescent="0.25">
      <c r="A84" s="174"/>
      <c r="B84" s="375"/>
      <c r="C84" s="485" t="s">
        <v>399</v>
      </c>
      <c r="D84" s="624"/>
      <c r="E84" s="625"/>
      <c r="F84" s="625"/>
      <c r="G84" s="627">
        <f>+IFERROR(SUMIF($C$88:$C$10090,"Inventários finais Mercadorias",G$88:G$10090)+SUMIF($C$88:$C$10090,"Inventários finais Matérias primas",G$88:G$10090)+SUMIF($C$88:$C$10090,"Inventários finais Produção",G$88:G$10090),"0")</f>
        <v>0</v>
      </c>
      <c r="H84" s="511">
        <f>+SUMIF($C$88:$C$10090,"Inventários finais Mercadorias",H$88:H$10090)+SUMIF($C$88:$C$10090,"Inventários finais Matérias primas",H$88:H$10090)+SUMIF($C$88:$C$10090,"Inventários finais Produção",H$88:H$10090)</f>
        <v>0</v>
      </c>
      <c r="I84" s="511">
        <f>+SUMIF($C$88:$C$10090,"Inventários finais Mercadorias",I$88:I$10090)+SUMIF($C$88:$C$10090,"Inventários finais Matérias primas",I$88:I$10090)+SUMIF($C$88:$C$10090,"Inventários finais Produção",I$88:I$10090)</f>
        <v>0</v>
      </c>
      <c r="J84" s="511">
        <f>+SUMIF($C$88:$C$10090,"Inventários finais Mercadorias",J$88:J$10090)+SUMIF($C$88:$C$10090,"Inventários finais Matérias primas",J$88:J$10090)+SUMIF($C$88:$C$10090,"Inventários finais Produção",J$88:J$10090)</f>
        <v>0</v>
      </c>
      <c r="K84" s="511">
        <f>+SUMIF($C$88:$C$10090,"Inventários finais Mercadorias",K$88:K$10090)+SUMIF($C$88:$C$10090,"Inventários finais Matérias primas",K$88:K$10090)+SUMIF($C$88:$C$10090,"Inventários finais Produção",K$88:K$10090)</f>
        <v>0</v>
      </c>
      <c r="L84" s="511">
        <f>+SUMIF($C$88:$C$10090,"Inventários finais Mercadorias",L$88:L$10090)+SUMIF($C$88:$C$10090,"Inventários finais Matérias primas",L$88:L$10090)+SUMIF($C$88:$C$10090,"Inventários finais Produção",L$88:L$10090)</f>
        <v>0</v>
      </c>
    </row>
    <row r="85" spans="1:12" ht="6.75" customHeight="1" x14ac:dyDescent="0.2">
      <c r="L85" s="35"/>
    </row>
    <row r="86" spans="1:12" s="79" customFormat="1" ht="17.25" customHeight="1" x14ac:dyDescent="0.25">
      <c r="A86" s="78"/>
      <c r="B86" s="376"/>
      <c r="C86" s="509" t="s">
        <v>433</v>
      </c>
      <c r="D86" s="169" t="s">
        <v>575</v>
      </c>
      <c r="E86" s="169" t="s">
        <v>575</v>
      </c>
      <c r="F86" s="169" t="s">
        <v>575</v>
      </c>
      <c r="G86" s="170"/>
      <c r="H86" s="171"/>
      <c r="I86" s="171"/>
      <c r="J86" s="171"/>
      <c r="K86" s="171"/>
      <c r="L86" s="171"/>
    </row>
    <row r="87" spans="1:12" ht="11.25" customHeight="1" x14ac:dyDescent="0.2">
      <c r="C87" s="510"/>
      <c r="D87" s="35"/>
      <c r="L87" s="35"/>
    </row>
    <row r="88" spans="1:12" ht="17.25" customHeight="1" x14ac:dyDescent="0.2">
      <c r="A88" s="432"/>
      <c r="B88" s="629">
        <v>0</v>
      </c>
      <c r="C88" s="105" t="s">
        <v>441</v>
      </c>
      <c r="D88" s="784"/>
      <c r="E88" s="750"/>
      <c r="F88" s="751"/>
      <c r="G88" s="575">
        <f t="shared" ref="G88:L88" si="19">+$D$88*G$47</f>
        <v>0</v>
      </c>
      <c r="H88" s="53">
        <f t="shared" si="19"/>
        <v>0</v>
      </c>
      <c r="I88" s="53">
        <f t="shared" si="19"/>
        <v>0</v>
      </c>
      <c r="J88" s="53">
        <f t="shared" si="19"/>
        <v>0</v>
      </c>
      <c r="K88" s="53">
        <f t="shared" si="19"/>
        <v>0</v>
      </c>
      <c r="L88" s="53">
        <f t="shared" si="19"/>
        <v>0</v>
      </c>
    </row>
    <row r="89" spans="1:12" ht="17.25" customHeight="1" x14ac:dyDescent="0.2">
      <c r="A89" s="377"/>
      <c r="C89" s="485" t="s">
        <v>343</v>
      </c>
      <c r="D89" s="796"/>
      <c r="E89" s="750"/>
      <c r="F89" s="751"/>
      <c r="G89" s="575">
        <f t="shared" ref="G89:L89" si="20">+$D$89*G$90</f>
        <v>0</v>
      </c>
      <c r="H89" s="59">
        <f t="shared" si="20"/>
        <v>0</v>
      </c>
      <c r="I89" s="59">
        <f t="shared" si="20"/>
        <v>0</v>
      </c>
      <c r="J89" s="59">
        <f t="shared" si="20"/>
        <v>0</v>
      </c>
      <c r="K89" s="59">
        <f t="shared" si="20"/>
        <v>0</v>
      </c>
      <c r="L89" s="59">
        <f t="shared" si="20"/>
        <v>0</v>
      </c>
    </row>
    <row r="90" spans="1:12" ht="17.25" customHeight="1" x14ac:dyDescent="0.2">
      <c r="A90" s="377"/>
      <c r="C90" s="322" t="s">
        <v>106</v>
      </c>
      <c r="D90" s="750"/>
      <c r="E90" s="750"/>
      <c r="F90" s="751"/>
      <c r="G90" s="752">
        <f>+G88+G92-G91</f>
        <v>0</v>
      </c>
      <c r="H90" s="753">
        <f t="shared" ref="H90:K90" si="21">+H88+H92-H91</f>
        <v>0</v>
      </c>
      <c r="I90" s="753">
        <f t="shared" si="21"/>
        <v>0</v>
      </c>
      <c r="J90" s="753">
        <f t="shared" si="21"/>
        <v>0</v>
      </c>
      <c r="K90" s="753">
        <f t="shared" si="21"/>
        <v>0</v>
      </c>
      <c r="L90" s="753">
        <f t="shared" ref="L90" si="22">+L88+L92-L91</f>
        <v>0</v>
      </c>
    </row>
    <row r="91" spans="1:12" ht="17.25" customHeight="1" x14ac:dyDescent="0.2">
      <c r="A91" s="377"/>
      <c r="C91" s="322" t="s">
        <v>442</v>
      </c>
      <c r="D91" s="750"/>
      <c r="E91" s="750"/>
      <c r="F91" s="751"/>
      <c r="G91" s="752">
        <v>0</v>
      </c>
      <c r="H91" s="753">
        <f>+G92</f>
        <v>0</v>
      </c>
      <c r="I91" s="753">
        <f t="shared" ref="I91:L91" si="23">+H92</f>
        <v>0</v>
      </c>
      <c r="J91" s="753">
        <f t="shared" si="23"/>
        <v>0</v>
      </c>
      <c r="K91" s="753">
        <f t="shared" si="23"/>
        <v>0</v>
      </c>
      <c r="L91" s="753">
        <f t="shared" si="23"/>
        <v>0</v>
      </c>
    </row>
    <row r="92" spans="1:12" ht="17.25" customHeight="1" x14ac:dyDescent="0.2">
      <c r="A92" s="377"/>
      <c r="C92" s="322" t="s">
        <v>443</v>
      </c>
      <c r="D92" s="750"/>
      <c r="E92" s="750"/>
      <c r="F92" s="751"/>
      <c r="G92" s="752">
        <f>+IFERROR(G88*$D$203/G$15,"0")</f>
        <v>0</v>
      </c>
      <c r="H92" s="753">
        <f t="shared" ref="H92:K92" si="24">+H88*$D$203/H$15</f>
        <v>0</v>
      </c>
      <c r="I92" s="753">
        <f t="shared" si="24"/>
        <v>0</v>
      </c>
      <c r="J92" s="753">
        <f t="shared" si="24"/>
        <v>0</v>
      </c>
      <c r="K92" s="753">
        <f t="shared" si="24"/>
        <v>0</v>
      </c>
      <c r="L92" s="753">
        <f t="shared" ref="L92" si="25">+L88*$D$203/L$15</f>
        <v>0</v>
      </c>
    </row>
    <row r="93" spans="1:12" ht="6.75" customHeight="1" x14ac:dyDescent="0.2">
      <c r="L93" s="35"/>
    </row>
    <row r="94" spans="1:12" s="79" customFormat="1" ht="17.25" customHeight="1" x14ac:dyDescent="0.25">
      <c r="A94" s="78"/>
      <c r="B94" s="376"/>
      <c r="C94" s="509" t="s">
        <v>434</v>
      </c>
      <c r="D94" s="169" t="s">
        <v>575</v>
      </c>
      <c r="E94" s="169" t="s">
        <v>575</v>
      </c>
      <c r="F94" s="169" t="s">
        <v>575</v>
      </c>
      <c r="G94" s="170"/>
      <c r="H94" s="171"/>
      <c r="I94" s="171"/>
      <c r="J94" s="171"/>
      <c r="K94" s="171"/>
      <c r="L94" s="171"/>
    </row>
    <row r="95" spans="1:12" ht="11.25" customHeight="1" x14ac:dyDescent="0.2">
      <c r="C95" s="510"/>
      <c r="D95" s="35"/>
      <c r="L95" s="35"/>
    </row>
    <row r="96" spans="1:12" ht="17.25" customHeight="1" x14ac:dyDescent="0.2">
      <c r="A96" s="432"/>
      <c r="B96" s="629">
        <v>0</v>
      </c>
      <c r="C96" s="105" t="s">
        <v>444</v>
      </c>
      <c r="D96" s="784"/>
      <c r="E96" s="750"/>
      <c r="F96" s="751"/>
      <c r="G96" s="575">
        <f t="shared" ref="G96:L96" si="26">+$D$96*G$49</f>
        <v>0</v>
      </c>
      <c r="H96" s="53">
        <f t="shared" si="26"/>
        <v>0</v>
      </c>
      <c r="I96" s="53">
        <f t="shared" si="26"/>
        <v>0</v>
      </c>
      <c r="J96" s="53">
        <f t="shared" si="26"/>
        <v>0</v>
      </c>
      <c r="K96" s="53">
        <f t="shared" si="26"/>
        <v>0</v>
      </c>
      <c r="L96" s="53">
        <f t="shared" si="26"/>
        <v>0</v>
      </c>
    </row>
    <row r="97" spans="1:15" ht="17.25" customHeight="1" x14ac:dyDescent="0.2">
      <c r="A97" s="377"/>
      <c r="C97" s="485" t="s">
        <v>343</v>
      </c>
      <c r="D97" s="796"/>
      <c r="E97" s="750"/>
      <c r="F97" s="751"/>
      <c r="G97" s="575">
        <f t="shared" ref="G97:L97" si="27">+$D$97*G$98</f>
        <v>0</v>
      </c>
      <c r="H97" s="59">
        <f t="shared" si="27"/>
        <v>0</v>
      </c>
      <c r="I97" s="59">
        <f t="shared" si="27"/>
        <v>0</v>
      </c>
      <c r="J97" s="59">
        <f t="shared" si="27"/>
        <v>0</v>
      </c>
      <c r="K97" s="59">
        <f t="shared" si="27"/>
        <v>0</v>
      </c>
      <c r="L97" s="59">
        <f t="shared" si="27"/>
        <v>0</v>
      </c>
    </row>
    <row r="98" spans="1:15" ht="17.25" customHeight="1" x14ac:dyDescent="0.2">
      <c r="A98" s="377"/>
      <c r="C98" s="322" t="s">
        <v>106</v>
      </c>
      <c r="D98" s="750"/>
      <c r="E98" s="750"/>
      <c r="F98" s="751"/>
      <c r="G98" s="752">
        <f>+G96+G100-G99</f>
        <v>0</v>
      </c>
      <c r="H98" s="753">
        <f t="shared" ref="H98:K98" si="28">+H96+H100-H99</f>
        <v>0</v>
      </c>
      <c r="I98" s="753">
        <f t="shared" si="28"/>
        <v>0</v>
      </c>
      <c r="J98" s="753">
        <f t="shared" si="28"/>
        <v>0</v>
      </c>
      <c r="K98" s="753">
        <f t="shared" si="28"/>
        <v>0</v>
      </c>
      <c r="L98" s="753">
        <f t="shared" ref="L98" si="29">+L96+L100-L99</f>
        <v>0</v>
      </c>
    </row>
    <row r="99" spans="1:15" ht="17.25" customHeight="1" x14ac:dyDescent="0.2">
      <c r="A99" s="377"/>
      <c r="C99" s="322" t="s">
        <v>445</v>
      </c>
      <c r="D99" s="750"/>
      <c r="E99" s="750"/>
      <c r="F99" s="751"/>
      <c r="G99" s="752">
        <v>0</v>
      </c>
      <c r="H99" s="753">
        <f>+G100</f>
        <v>0</v>
      </c>
      <c r="I99" s="753">
        <f t="shared" ref="I99" si="30">+H100</f>
        <v>0</v>
      </c>
      <c r="J99" s="753">
        <f t="shared" ref="J99" si="31">+I100</f>
        <v>0</v>
      </c>
      <c r="K99" s="753">
        <f t="shared" ref="K99:L99" si="32">+J100</f>
        <v>0</v>
      </c>
      <c r="L99" s="753">
        <f t="shared" si="32"/>
        <v>0</v>
      </c>
    </row>
    <row r="100" spans="1:15" ht="17.25" customHeight="1" x14ac:dyDescent="0.2">
      <c r="A100" s="377"/>
      <c r="C100" s="322" t="s">
        <v>446</v>
      </c>
      <c r="D100" s="750"/>
      <c r="E100" s="750"/>
      <c r="F100" s="751"/>
      <c r="G100" s="752">
        <f>+IFERROR(G96*$D$203/G$15,"0")</f>
        <v>0</v>
      </c>
      <c r="H100" s="753">
        <f t="shared" ref="H100:K100" si="33">+H96*$D$203/H$15</f>
        <v>0</v>
      </c>
      <c r="I100" s="753">
        <f t="shared" si="33"/>
        <v>0</v>
      </c>
      <c r="J100" s="753">
        <f t="shared" si="33"/>
        <v>0</v>
      </c>
      <c r="K100" s="753">
        <f t="shared" si="33"/>
        <v>0</v>
      </c>
      <c r="L100" s="753">
        <f t="shared" ref="L100" si="34">+L96*$D$203/L$15</f>
        <v>0</v>
      </c>
    </row>
    <row r="101" spans="1:15" s="176" customFormat="1" ht="17.25" customHeight="1" x14ac:dyDescent="0.2">
      <c r="A101" s="375"/>
      <c r="B101" s="368"/>
      <c r="C101" s="105" t="s">
        <v>505</v>
      </c>
      <c r="D101" s="929"/>
      <c r="E101" s="754"/>
      <c r="F101" s="755"/>
      <c r="G101" s="575">
        <f t="shared" ref="G101:L101" si="35">+$D$101*G$49</f>
        <v>0</v>
      </c>
      <c r="H101" s="53">
        <f t="shared" si="35"/>
        <v>0</v>
      </c>
      <c r="I101" s="53">
        <f t="shared" si="35"/>
        <v>0</v>
      </c>
      <c r="J101" s="53">
        <f t="shared" si="35"/>
        <v>0</v>
      </c>
      <c r="K101" s="53">
        <f t="shared" si="35"/>
        <v>0</v>
      </c>
      <c r="L101" s="53">
        <f t="shared" si="35"/>
        <v>0</v>
      </c>
      <c r="M101" s="5"/>
      <c r="N101" s="5"/>
      <c r="O101" s="5"/>
    </row>
    <row r="102" spans="1:15" s="79" customFormat="1" ht="17.25" customHeight="1" x14ac:dyDescent="0.2">
      <c r="A102" s="375"/>
      <c r="C102" s="105" t="s">
        <v>506</v>
      </c>
      <c r="D102" s="750"/>
      <c r="E102" s="754"/>
      <c r="F102" s="755"/>
      <c r="G102" s="628">
        <f>+G104</f>
        <v>0</v>
      </c>
      <c r="H102" s="53">
        <f>+H104-H103</f>
        <v>0</v>
      </c>
      <c r="I102" s="53">
        <f t="shared" ref="I102:K102" si="36">+I104-I103</f>
        <v>0</v>
      </c>
      <c r="J102" s="53">
        <f t="shared" si="36"/>
        <v>0</v>
      </c>
      <c r="K102" s="53">
        <f t="shared" si="36"/>
        <v>0</v>
      </c>
      <c r="L102" s="53">
        <f t="shared" ref="L102" si="37">+L104-L103</f>
        <v>0</v>
      </c>
    </row>
    <row r="103" spans="1:15" ht="17.25" customHeight="1" x14ac:dyDescent="0.2">
      <c r="A103" s="377"/>
      <c r="C103" s="54" t="s">
        <v>400</v>
      </c>
      <c r="D103" s="750"/>
      <c r="E103" s="754"/>
      <c r="F103" s="755"/>
      <c r="G103" s="752">
        <v>0</v>
      </c>
      <c r="H103" s="753">
        <f t="shared" ref="H103:L103" si="38">+G104</f>
        <v>0</v>
      </c>
      <c r="I103" s="753">
        <f t="shared" si="38"/>
        <v>0</v>
      </c>
      <c r="J103" s="753">
        <f t="shared" si="38"/>
        <v>0</v>
      </c>
      <c r="K103" s="753">
        <f t="shared" si="38"/>
        <v>0</v>
      </c>
      <c r="L103" s="753">
        <f t="shared" si="38"/>
        <v>0</v>
      </c>
    </row>
    <row r="104" spans="1:15" ht="17.25" customHeight="1" x14ac:dyDescent="0.2">
      <c r="A104" s="377"/>
      <c r="C104" s="54" t="s">
        <v>401</v>
      </c>
      <c r="D104" s="750"/>
      <c r="E104" s="754"/>
      <c r="F104" s="755"/>
      <c r="G104" s="752">
        <f>+IFERROR(G101*$D$204/G$15,"0")</f>
        <v>0</v>
      </c>
      <c r="H104" s="753">
        <f t="shared" ref="H104:K104" si="39">+H101*$D$204/H$15</f>
        <v>0</v>
      </c>
      <c r="I104" s="753">
        <f t="shared" si="39"/>
        <v>0</v>
      </c>
      <c r="J104" s="753">
        <f t="shared" si="39"/>
        <v>0</v>
      </c>
      <c r="K104" s="753">
        <f t="shared" si="39"/>
        <v>0</v>
      </c>
      <c r="L104" s="753">
        <f t="shared" ref="L104" si="40">+L101*$D$204/L$15</f>
        <v>0</v>
      </c>
    </row>
    <row r="105" spans="1:15" ht="22.5" customHeight="1" x14ac:dyDescent="0.2"/>
    <row r="106" spans="1:15" s="79" customFormat="1" ht="17.25" customHeight="1" x14ac:dyDescent="0.25">
      <c r="A106" s="376"/>
      <c r="C106" s="180" t="s">
        <v>220</v>
      </c>
      <c r="D106" s="169" t="s">
        <v>575</v>
      </c>
      <c r="E106" s="170"/>
      <c r="F106" s="171"/>
      <c r="G106" s="171"/>
      <c r="H106" s="171"/>
      <c r="I106" s="171"/>
      <c r="J106" s="171"/>
      <c r="K106" s="171"/>
      <c r="L106" s="171"/>
    </row>
    <row r="107" spans="1:15" ht="6.75" customHeight="1" x14ac:dyDescent="0.2">
      <c r="A107" s="368"/>
      <c r="C107" s="55"/>
      <c r="D107" s="35"/>
    </row>
    <row r="108" spans="1:15" s="79" customFormat="1" ht="17.25" customHeight="1" x14ac:dyDescent="0.25">
      <c r="A108" s="376"/>
      <c r="C108" s="484" t="s">
        <v>402</v>
      </c>
      <c r="D108" s="168"/>
      <c r="E108" s="168"/>
      <c r="F108" s="168"/>
      <c r="G108" s="172">
        <f t="shared" ref="G108:K108" si="41">+G110+G112+G119+G124+G128+G132+G140</f>
        <v>0</v>
      </c>
      <c r="H108" s="172">
        <f t="shared" si="41"/>
        <v>0</v>
      </c>
      <c r="I108" s="172">
        <f t="shared" si="41"/>
        <v>0</v>
      </c>
      <c r="J108" s="172">
        <f t="shared" si="41"/>
        <v>0</v>
      </c>
      <c r="K108" s="172">
        <f t="shared" si="41"/>
        <v>0</v>
      </c>
      <c r="L108" s="172">
        <f t="shared" ref="L108" si="42">+L110+L112+L119+L124+L128+L132+L140</f>
        <v>0</v>
      </c>
    </row>
    <row r="109" spans="1:15" s="79" customFormat="1" ht="17.25" customHeight="1" x14ac:dyDescent="0.25">
      <c r="A109" s="429"/>
      <c r="C109" s="485" t="s">
        <v>403</v>
      </c>
      <c r="D109" s="624"/>
      <c r="E109" s="624"/>
      <c r="F109" s="452"/>
      <c r="G109" s="575">
        <f t="shared" ref="G109:L109" si="43">+G$111*$D$111+$D$113*G$113+$D$114*G$114+$D$115*G$115+$D$116*G$116+$D$117*G$117+$D$118*G$118+$D$120*G$120+$D$121*G$121+$D$122*G$122+$D$123*G$123+$D$125*G$125+$D$126*G$126+$D$127*G$127+$D$129*G$129+$D$130*G$130+$D$131*G$131+$D$133*G$133+$D$134*G$134+$D$135*G$135+$D$136*G$136+$D$137*G$137+$D$138*G$138+$D$139*G$139+$D$141*G$141</f>
        <v>0</v>
      </c>
      <c r="H109" s="53">
        <f t="shared" si="43"/>
        <v>0</v>
      </c>
      <c r="I109" s="53">
        <f t="shared" si="43"/>
        <v>0</v>
      </c>
      <c r="J109" s="53">
        <f t="shared" si="43"/>
        <v>0</v>
      </c>
      <c r="K109" s="53">
        <f t="shared" si="43"/>
        <v>0</v>
      </c>
      <c r="L109" s="53">
        <f t="shared" si="43"/>
        <v>0</v>
      </c>
    </row>
    <row r="110" spans="1:15" s="176" customFormat="1" ht="17.25" customHeight="1" x14ac:dyDescent="0.25">
      <c r="A110" s="430"/>
      <c r="C110" s="489" t="s">
        <v>107</v>
      </c>
      <c r="D110" s="636" t="s">
        <v>550</v>
      </c>
      <c r="E110" s="636" t="s">
        <v>319</v>
      </c>
      <c r="F110" s="636" t="s">
        <v>552</v>
      </c>
      <c r="G110" s="575">
        <f t="shared" ref="G110:L110" si="44">+SUM(G111)</f>
        <v>0</v>
      </c>
      <c r="H110" s="53">
        <f t="shared" si="44"/>
        <v>0</v>
      </c>
      <c r="I110" s="53">
        <f t="shared" si="44"/>
        <v>0</v>
      </c>
      <c r="J110" s="53">
        <f t="shared" si="44"/>
        <v>0</v>
      </c>
      <c r="K110" s="53">
        <f t="shared" si="44"/>
        <v>0</v>
      </c>
      <c r="L110" s="53">
        <f t="shared" si="44"/>
        <v>0</v>
      </c>
    </row>
    <row r="111" spans="1:15" s="176" customFormat="1" ht="17.25" customHeight="1" x14ac:dyDescent="0.25">
      <c r="A111" s="371"/>
      <c r="C111" s="632" t="s">
        <v>107</v>
      </c>
      <c r="D111" s="797">
        <v>0.23</v>
      </c>
      <c r="E111" s="782">
        <v>0</v>
      </c>
      <c r="F111" s="777"/>
      <c r="G111" s="798">
        <f>+F111*(1+$G$36)*$G$14</f>
        <v>0</v>
      </c>
      <c r="H111" s="798">
        <f>+F111*(1+$G$36)*(1+$H$36)*$H$14</f>
        <v>0</v>
      </c>
      <c r="I111" s="798">
        <f>+F111*(1+$G$36)*(1+$H$36)*(1+$I$36)*$I$14</f>
        <v>0</v>
      </c>
      <c r="J111" s="798">
        <f>+F111*(1+$G$36)*(1+$H$36)*(1+$I$36)*(1+$J$36)*$J$14</f>
        <v>0</v>
      </c>
      <c r="K111" s="798">
        <f>+F111*(1+$G$36)*(1+$H$36)*(1+$I$36)*(1+$J$36)*(1+$K$36)*$K$14</f>
        <v>0</v>
      </c>
      <c r="L111" s="798">
        <f>+F111*(1+$G$36)*(1+$H$36)*(1+$I$36)*(1+$J$36)*(1+$K$36)*(1+$L$36)*$L$14</f>
        <v>0</v>
      </c>
    </row>
    <row r="112" spans="1:15" s="176" customFormat="1" ht="17.25" customHeight="1" x14ac:dyDescent="0.25">
      <c r="A112" s="375"/>
      <c r="C112" s="633" t="s">
        <v>149</v>
      </c>
      <c r="D112" s="636" t="s">
        <v>550</v>
      </c>
      <c r="E112" s="636" t="s">
        <v>319</v>
      </c>
      <c r="F112" s="636" t="s">
        <v>552</v>
      </c>
      <c r="G112" s="575">
        <f t="shared" ref="G112:K112" si="45">+SUM(G113:G118)</f>
        <v>0</v>
      </c>
      <c r="H112" s="53">
        <f t="shared" si="45"/>
        <v>0</v>
      </c>
      <c r="I112" s="53">
        <f t="shared" si="45"/>
        <v>0</v>
      </c>
      <c r="J112" s="53">
        <f t="shared" si="45"/>
        <v>0</v>
      </c>
      <c r="K112" s="53">
        <f t="shared" si="45"/>
        <v>0</v>
      </c>
      <c r="L112" s="53">
        <f t="shared" ref="L112" si="46">+SUM(L113:L118)</f>
        <v>0</v>
      </c>
    </row>
    <row r="113" spans="1:12" s="176" customFormat="1" ht="17.25" customHeight="1" x14ac:dyDescent="0.25">
      <c r="A113" s="371"/>
      <c r="C113" s="631" t="s">
        <v>150</v>
      </c>
      <c r="D113" s="833">
        <v>0.23</v>
      </c>
      <c r="E113" s="782">
        <v>0</v>
      </c>
      <c r="F113" s="777"/>
      <c r="G113" s="798">
        <f t="shared" ref="G113:G118" si="47">+F113*(1+$G$36)*$G$14</f>
        <v>0</v>
      </c>
      <c r="H113" s="798">
        <f t="shared" ref="H113:H118" si="48">+F113*(1+$G$36)*(1+$H$36)*$H$14</f>
        <v>0</v>
      </c>
      <c r="I113" s="798">
        <f t="shared" ref="I113:I118" si="49">+F113*(1+$G$36)*(1+$H$36)*(1+$I$36)*$I$14</f>
        <v>0</v>
      </c>
      <c r="J113" s="798">
        <f t="shared" ref="J113:J118" si="50">+F113*(1+$G$36)*(1+$H$36)*(1+$I$36)*(1+$J$36)*$J$14</f>
        <v>0</v>
      </c>
      <c r="K113" s="798">
        <f t="shared" ref="K113:K118" si="51">+F113*(1+$G$36)*(1+$H$36)*(1+$I$36)*(1+$J$36)*(1+$K$36)*$K$14</f>
        <v>0</v>
      </c>
      <c r="L113" s="798">
        <f t="shared" ref="L113:L118" si="52">+F113*(1+$G$36)*(1+$H$36)*(1+$I$36)*(1+$J$36)*(1+$K$36)*(1+$L$36)*$L$14</f>
        <v>0</v>
      </c>
    </row>
    <row r="114" spans="1:12" s="176" customFormat="1" ht="17.25" customHeight="1" x14ac:dyDescent="0.25">
      <c r="A114" s="371"/>
      <c r="C114" s="631" t="s">
        <v>151</v>
      </c>
      <c r="D114" s="833">
        <v>0.23</v>
      </c>
      <c r="E114" s="782">
        <v>1</v>
      </c>
      <c r="F114" s="777"/>
      <c r="G114" s="798">
        <f t="shared" si="47"/>
        <v>0</v>
      </c>
      <c r="H114" s="798">
        <f t="shared" si="48"/>
        <v>0</v>
      </c>
      <c r="I114" s="798">
        <f t="shared" si="49"/>
        <v>0</v>
      </c>
      <c r="J114" s="798">
        <f t="shared" si="50"/>
        <v>0</v>
      </c>
      <c r="K114" s="798">
        <f t="shared" si="51"/>
        <v>0</v>
      </c>
      <c r="L114" s="798">
        <f t="shared" si="52"/>
        <v>0</v>
      </c>
    </row>
    <row r="115" spans="1:12" s="176" customFormat="1" ht="17.25" customHeight="1" x14ac:dyDescent="0.25">
      <c r="A115" s="371"/>
      <c r="C115" s="631" t="s">
        <v>152</v>
      </c>
      <c r="D115" s="833">
        <v>0.23</v>
      </c>
      <c r="E115" s="782">
        <v>0</v>
      </c>
      <c r="F115" s="777"/>
      <c r="G115" s="798">
        <f t="shared" si="47"/>
        <v>0</v>
      </c>
      <c r="H115" s="798">
        <f t="shared" si="48"/>
        <v>0</v>
      </c>
      <c r="I115" s="798">
        <f t="shared" si="49"/>
        <v>0</v>
      </c>
      <c r="J115" s="798">
        <f t="shared" si="50"/>
        <v>0</v>
      </c>
      <c r="K115" s="798">
        <f t="shared" si="51"/>
        <v>0</v>
      </c>
      <c r="L115" s="798">
        <f t="shared" si="52"/>
        <v>0</v>
      </c>
    </row>
    <row r="116" spans="1:12" s="176" customFormat="1" ht="17.25" customHeight="1" x14ac:dyDescent="0.25">
      <c r="A116" s="371"/>
      <c r="C116" s="631" t="s">
        <v>108</v>
      </c>
      <c r="D116" s="833">
        <v>0.23</v>
      </c>
      <c r="E116" s="782">
        <v>1</v>
      </c>
      <c r="F116" s="777"/>
      <c r="G116" s="798">
        <f t="shared" si="47"/>
        <v>0</v>
      </c>
      <c r="H116" s="798">
        <f t="shared" si="48"/>
        <v>0</v>
      </c>
      <c r="I116" s="798">
        <f t="shared" si="49"/>
        <v>0</v>
      </c>
      <c r="J116" s="798">
        <f t="shared" si="50"/>
        <v>0</v>
      </c>
      <c r="K116" s="798">
        <f t="shared" si="51"/>
        <v>0</v>
      </c>
      <c r="L116" s="798">
        <f t="shared" si="52"/>
        <v>0</v>
      </c>
    </row>
    <row r="117" spans="1:12" s="176" customFormat="1" ht="17.25" customHeight="1" x14ac:dyDescent="0.25">
      <c r="A117" s="371"/>
      <c r="C117" s="631" t="s">
        <v>109</v>
      </c>
      <c r="D117" s="833">
        <v>0.23</v>
      </c>
      <c r="E117" s="782">
        <v>0</v>
      </c>
      <c r="F117" s="777"/>
      <c r="G117" s="798">
        <f t="shared" si="47"/>
        <v>0</v>
      </c>
      <c r="H117" s="798">
        <f t="shared" si="48"/>
        <v>0</v>
      </c>
      <c r="I117" s="798">
        <f t="shared" si="49"/>
        <v>0</v>
      </c>
      <c r="J117" s="798">
        <f t="shared" si="50"/>
        <v>0</v>
      </c>
      <c r="K117" s="798">
        <f t="shared" si="51"/>
        <v>0</v>
      </c>
      <c r="L117" s="798">
        <f t="shared" si="52"/>
        <v>0</v>
      </c>
    </row>
    <row r="118" spans="1:12" s="176" customFormat="1" ht="17.25" customHeight="1" x14ac:dyDescent="0.25">
      <c r="A118" s="371"/>
      <c r="C118" s="631" t="s">
        <v>153</v>
      </c>
      <c r="D118" s="833">
        <v>0.23</v>
      </c>
      <c r="E118" s="782">
        <v>1</v>
      </c>
      <c r="F118" s="777"/>
      <c r="G118" s="798">
        <f t="shared" si="47"/>
        <v>0</v>
      </c>
      <c r="H118" s="798">
        <f t="shared" si="48"/>
        <v>0</v>
      </c>
      <c r="I118" s="798">
        <f t="shared" si="49"/>
        <v>0</v>
      </c>
      <c r="J118" s="798">
        <f t="shared" si="50"/>
        <v>0</v>
      </c>
      <c r="K118" s="798">
        <f t="shared" si="51"/>
        <v>0</v>
      </c>
      <c r="L118" s="798">
        <f t="shared" si="52"/>
        <v>0</v>
      </c>
    </row>
    <row r="119" spans="1:12" s="176" customFormat="1" ht="17.25" customHeight="1" x14ac:dyDescent="0.25">
      <c r="A119" s="375"/>
      <c r="C119" s="489" t="s">
        <v>154</v>
      </c>
      <c r="D119" s="636" t="s">
        <v>550</v>
      </c>
      <c r="E119" s="677" t="s">
        <v>319</v>
      </c>
      <c r="F119" s="636" t="s">
        <v>552</v>
      </c>
      <c r="G119" s="575">
        <f t="shared" ref="G119:K119" si="53">+SUM(G120:G123)</f>
        <v>0</v>
      </c>
      <c r="H119" s="53">
        <f t="shared" si="53"/>
        <v>0</v>
      </c>
      <c r="I119" s="53">
        <f t="shared" si="53"/>
        <v>0</v>
      </c>
      <c r="J119" s="53">
        <f t="shared" si="53"/>
        <v>0</v>
      </c>
      <c r="K119" s="53">
        <f t="shared" si="53"/>
        <v>0</v>
      </c>
      <c r="L119" s="53">
        <f t="shared" ref="L119" si="54">+SUM(L120:L123)</f>
        <v>0</v>
      </c>
    </row>
    <row r="120" spans="1:12" s="176" customFormat="1" ht="17.25" customHeight="1" x14ac:dyDescent="0.25">
      <c r="A120" s="371"/>
      <c r="C120" s="631" t="s">
        <v>155</v>
      </c>
      <c r="D120" s="782">
        <v>0.23</v>
      </c>
      <c r="E120" s="782">
        <v>0</v>
      </c>
      <c r="F120" s="777"/>
      <c r="G120" s="798">
        <f>+F120*(1+$G$36)*$G$14</f>
        <v>0</v>
      </c>
      <c r="H120" s="798">
        <f>+F120*(1+$G$36)*(1+$H$36)*$H$14</f>
        <v>0</v>
      </c>
      <c r="I120" s="798">
        <f>+F120*(1+$G$36)*(1+$H$36)*(1+$I$36)*$I$14</f>
        <v>0</v>
      </c>
      <c r="J120" s="798">
        <f>+F120*(1+$G$36)*(1+$H$36)*(1+$I$36)*(1+$J$36)*$J$14</f>
        <v>0</v>
      </c>
      <c r="K120" s="798">
        <f>+F120*(1+$G$36)*(1+$H$36)*(1+$I$36)*(1+$J$36)*(1+$K$36)*$K$14</f>
        <v>0</v>
      </c>
      <c r="L120" s="798">
        <f>+F120*(1+$G$36)*(1+$H$36)*(1+$I$36)*(1+$J$36)*(1+$K$36)*(1+$L$36)*$L$14</f>
        <v>0</v>
      </c>
    </row>
    <row r="121" spans="1:12" s="176" customFormat="1" ht="17.25" customHeight="1" x14ac:dyDescent="0.25">
      <c r="A121" s="371"/>
      <c r="C121" s="631" t="s">
        <v>156</v>
      </c>
      <c r="D121" s="782">
        <v>0.23</v>
      </c>
      <c r="E121" s="782">
        <v>1</v>
      </c>
      <c r="F121" s="777"/>
      <c r="G121" s="798">
        <f>+F121*(1+$G$36)*$G$14</f>
        <v>0</v>
      </c>
      <c r="H121" s="798">
        <f>+F121*(1+$G$36)*(1+$H$36)*$H$14</f>
        <v>0</v>
      </c>
      <c r="I121" s="798">
        <f>+F121*(1+$G$36)*(1+$H$36)*(1+$I$36)*$I$14</f>
        <v>0</v>
      </c>
      <c r="J121" s="798">
        <f>+F121*(1+$G$36)*(1+$H$36)*(1+$I$36)*(1+$J$36)*$J$14</f>
        <v>0</v>
      </c>
      <c r="K121" s="798">
        <f>+F121*(1+$G$36)*(1+$H$36)*(1+$I$36)*(1+$J$36)*(1+$K$36)*$K$14</f>
        <v>0</v>
      </c>
      <c r="L121" s="798">
        <f>+F121*(1+$G$36)*(1+$H$36)*(1+$I$36)*(1+$J$36)*(1+$K$36)*(1+$L$36)*$L$14</f>
        <v>0</v>
      </c>
    </row>
    <row r="122" spans="1:12" s="176" customFormat="1" ht="17.25" customHeight="1" x14ac:dyDescent="0.25">
      <c r="A122" s="371"/>
      <c r="C122" s="631" t="s">
        <v>157</v>
      </c>
      <c r="D122" s="782">
        <v>0.23</v>
      </c>
      <c r="E122" s="782">
        <v>1</v>
      </c>
      <c r="F122" s="777"/>
      <c r="G122" s="798">
        <f>+F122*(1+$G$36)*$G$14</f>
        <v>0</v>
      </c>
      <c r="H122" s="798">
        <f>+F122*(1+$G$36)*(1+$H$36)*$H$14</f>
        <v>0</v>
      </c>
      <c r="I122" s="798">
        <f>+F122*(1+$G$36)*(1+$H$36)*(1+$I$36)*$I$14</f>
        <v>0</v>
      </c>
      <c r="J122" s="798">
        <f>+F122*(1+$G$36)*(1+$H$36)*(1+$I$36)*(1+$J$36)*$J$14</f>
        <v>0</v>
      </c>
      <c r="K122" s="798">
        <f>+F122*(1+$G$36)*(1+$H$36)*(1+$I$36)*(1+$J$36)*(1+$K$36)*$K$14</f>
        <v>0</v>
      </c>
      <c r="L122" s="798">
        <f>+F122*(1+$G$36)*(1+$H$36)*(1+$I$36)*(1+$J$36)*(1+$K$36)*(1+$L$36)*$L$14</f>
        <v>0</v>
      </c>
    </row>
    <row r="123" spans="1:12" s="176" customFormat="1" ht="17.25" customHeight="1" x14ac:dyDescent="0.25">
      <c r="A123" s="371"/>
      <c r="C123" s="631" t="s">
        <v>158</v>
      </c>
      <c r="D123" s="782">
        <v>0.23</v>
      </c>
      <c r="E123" s="782">
        <v>1</v>
      </c>
      <c r="F123" s="777"/>
      <c r="G123" s="798">
        <f>+F123*(1+$G$36)*$G$14</f>
        <v>0</v>
      </c>
      <c r="H123" s="798">
        <f>+F123*(1+$G$36)*(1+$H$36)*$H$14</f>
        <v>0</v>
      </c>
      <c r="I123" s="798">
        <f>+F123*(1+$G$36)*(1+$H$36)*(1+$I$36)*$I$14</f>
        <v>0</v>
      </c>
      <c r="J123" s="798">
        <f>+F123*(1+$G$36)*(1+$H$36)*(1+$I$36)*(1+$J$36)*$J$14</f>
        <v>0</v>
      </c>
      <c r="K123" s="798">
        <f>+F123*(1+$G$36)*(1+$H$36)*(1+$I$36)*(1+$J$36)*(1+$K$36)*$K$14</f>
        <v>0</v>
      </c>
      <c r="L123" s="798">
        <f>+F123*(1+$G$36)*(1+$H$36)*(1+$I$36)*(1+$J$36)*(1+$K$36)*(1+$L$36)*$L$14</f>
        <v>0</v>
      </c>
    </row>
    <row r="124" spans="1:12" s="176" customFormat="1" ht="17.25" customHeight="1" x14ac:dyDescent="0.25">
      <c r="A124" s="375"/>
      <c r="C124" s="489" t="s">
        <v>159</v>
      </c>
      <c r="D124" s="636" t="s">
        <v>550</v>
      </c>
      <c r="E124" s="677" t="s">
        <v>319</v>
      </c>
      <c r="F124" s="636" t="s">
        <v>552</v>
      </c>
      <c r="G124" s="575">
        <f t="shared" ref="G124:K124" si="55">+SUM(G125:G127)</f>
        <v>0</v>
      </c>
      <c r="H124" s="53">
        <f t="shared" si="55"/>
        <v>0</v>
      </c>
      <c r="I124" s="53">
        <f t="shared" si="55"/>
        <v>0</v>
      </c>
      <c r="J124" s="53">
        <f t="shared" si="55"/>
        <v>0</v>
      </c>
      <c r="K124" s="53">
        <f t="shared" si="55"/>
        <v>0</v>
      </c>
      <c r="L124" s="53">
        <f t="shared" ref="L124" si="56">+SUM(L125:L127)</f>
        <v>0</v>
      </c>
    </row>
    <row r="125" spans="1:12" s="176" customFormat="1" ht="17.25" customHeight="1" x14ac:dyDescent="0.25">
      <c r="A125" s="371"/>
      <c r="C125" s="631" t="s">
        <v>160</v>
      </c>
      <c r="D125" s="782">
        <v>0.23</v>
      </c>
      <c r="E125" s="782">
        <v>1</v>
      </c>
      <c r="F125" s="777"/>
      <c r="G125" s="798">
        <f>+F125*(1+$G$36)*$G$14</f>
        <v>0</v>
      </c>
      <c r="H125" s="798">
        <f>+F125*(1+$G$36)*(1+$H$36)*$H$14</f>
        <v>0</v>
      </c>
      <c r="I125" s="798">
        <f>+F125*(1+$G$36)*(1+$H$36)*(1+$I$36)*$I$14</f>
        <v>0</v>
      </c>
      <c r="J125" s="798">
        <f>+F125*(1+$G$36)*(1+$H$36)*(1+$I$36)*(1+$J$36)*$J$14</f>
        <v>0</v>
      </c>
      <c r="K125" s="798">
        <f>+F125*(1+$G$36)*(1+$H$36)*(1+$I$36)*(1+$J$36)*(1+$K$36)*$K$14</f>
        <v>0</v>
      </c>
      <c r="L125" s="798">
        <f>+F125*(1+$G$36)*(1+$H$36)*(1+$I$36)*(1+$J$36)*(1+$K$36)*(1+$L$36)*$L$14</f>
        <v>0</v>
      </c>
    </row>
    <row r="126" spans="1:12" s="176" customFormat="1" ht="17.25" customHeight="1" x14ac:dyDescent="0.25">
      <c r="A126" s="371"/>
      <c r="C126" s="631" t="s">
        <v>161</v>
      </c>
      <c r="D126" s="782">
        <v>0.23</v>
      </c>
      <c r="E126" s="782">
        <v>0</v>
      </c>
      <c r="F126" s="777"/>
      <c r="G126" s="798">
        <f>+F126*(1+$G$36)*$G$14</f>
        <v>0</v>
      </c>
      <c r="H126" s="798">
        <f>+F126*(1+$G$36)*(1+$H$36)*$H$14</f>
        <v>0</v>
      </c>
      <c r="I126" s="798">
        <f>+F126*(1+$G$36)*(1+$H$36)*(1+$I$36)*$I$14</f>
        <v>0</v>
      </c>
      <c r="J126" s="798">
        <f>+F126*(1+$G$36)*(1+$H$36)*(1+$I$36)*(1+$J$36)*$J$14</f>
        <v>0</v>
      </c>
      <c r="K126" s="798">
        <f>+F126*(1+$G$36)*(1+$H$36)*(1+$I$36)*(1+$J$36)*(1+$K$36)*$K$14</f>
        <v>0</v>
      </c>
      <c r="L126" s="798">
        <f>+F126*(1+$G$36)*(1+$H$36)*(1+$I$36)*(1+$J$36)*(1+$K$36)*(1+$L$36)*$L$14</f>
        <v>0</v>
      </c>
    </row>
    <row r="127" spans="1:12" s="176" customFormat="1" ht="17.25" customHeight="1" x14ac:dyDescent="0.25">
      <c r="A127" s="371"/>
      <c r="C127" s="631" t="s">
        <v>162</v>
      </c>
      <c r="D127" s="782">
        <v>0.06</v>
      </c>
      <c r="E127" s="782">
        <v>0</v>
      </c>
      <c r="F127" s="777"/>
      <c r="G127" s="798">
        <f>+F127*(1+$G$36)*$G$14</f>
        <v>0</v>
      </c>
      <c r="H127" s="798">
        <f>+F127*(1+$G$36)*(1+$H$36)*$H$14</f>
        <v>0</v>
      </c>
      <c r="I127" s="798">
        <f>+F127*(1+$G$36)*(1+$H$36)*(1+$I$36)*$I$14</f>
        <v>0</v>
      </c>
      <c r="J127" s="798">
        <f>+F127*(1+$G$36)*(1+$H$36)*(1+$I$36)*(1+$J$36)*$J$14</f>
        <v>0</v>
      </c>
      <c r="K127" s="798">
        <f>+F127*(1+$G$36)*(1+$H$36)*(1+$I$36)*(1+$J$36)*(1+$K$36)*$K$14</f>
        <v>0</v>
      </c>
      <c r="L127" s="798">
        <f>+F127*(1+$G$36)*(1+$H$36)*(1+$I$36)*(1+$J$36)*(1+$K$36)*(1+$L$36)*$L$14</f>
        <v>0</v>
      </c>
    </row>
    <row r="128" spans="1:12" s="176" customFormat="1" ht="17.25" customHeight="1" x14ac:dyDescent="0.25">
      <c r="A128" s="375"/>
      <c r="C128" s="489" t="s">
        <v>163</v>
      </c>
      <c r="D128" s="636" t="s">
        <v>550</v>
      </c>
      <c r="E128" s="677" t="s">
        <v>319</v>
      </c>
      <c r="F128" s="636" t="s">
        <v>552</v>
      </c>
      <c r="G128" s="575">
        <f t="shared" ref="G128:K128" si="57">+SUM(G129:G131)</f>
        <v>0</v>
      </c>
      <c r="H128" s="53">
        <f t="shared" si="57"/>
        <v>0</v>
      </c>
      <c r="I128" s="53">
        <f t="shared" si="57"/>
        <v>0</v>
      </c>
      <c r="J128" s="53">
        <f t="shared" si="57"/>
        <v>0</v>
      </c>
      <c r="K128" s="53">
        <f t="shared" si="57"/>
        <v>0</v>
      </c>
      <c r="L128" s="53">
        <f t="shared" ref="L128" si="58">+SUM(L129:L131)</f>
        <v>0</v>
      </c>
    </row>
    <row r="129" spans="1:12" s="176" customFormat="1" ht="17.25" customHeight="1" x14ac:dyDescent="0.25">
      <c r="A129" s="371"/>
      <c r="C129" s="631" t="s">
        <v>164</v>
      </c>
      <c r="D129" s="782">
        <v>0.23</v>
      </c>
      <c r="E129" s="782">
        <v>1</v>
      </c>
      <c r="F129" s="777"/>
      <c r="G129" s="798">
        <f>+F129*(1+$G$36)*$G$14</f>
        <v>0</v>
      </c>
      <c r="H129" s="798">
        <f>+F129*(1+$G$36)*(1+$H$36)*$H$14</f>
        <v>0</v>
      </c>
      <c r="I129" s="798">
        <f>+F129*(1+$G$36)*(1+$H$36)*(1+$I$36)*$I$14</f>
        <v>0</v>
      </c>
      <c r="J129" s="798">
        <f>+F129*(1+$G$36)*(1+$H$36)*(1+$I$36)*(1+$J$36)*$J$14</f>
        <v>0</v>
      </c>
      <c r="K129" s="798">
        <f>+F129*(1+$G$36)*(1+$H$36)*(1+$I$36)*(1+$J$36)*(1+$K$36)*$K$14</f>
        <v>0</v>
      </c>
      <c r="L129" s="798">
        <f>+F129*(1+$G$36)*(1+$H$36)*(1+$I$36)*(1+$J$36)*(1+$K$36)*(1+$L$36)*$L$14</f>
        <v>0</v>
      </c>
    </row>
    <row r="130" spans="1:12" s="176" customFormat="1" ht="17.25" customHeight="1" x14ac:dyDescent="0.25">
      <c r="A130" s="371"/>
      <c r="C130" s="631" t="s">
        <v>120</v>
      </c>
      <c r="D130" s="782">
        <v>0.23</v>
      </c>
      <c r="E130" s="782">
        <v>1</v>
      </c>
      <c r="F130" s="777"/>
      <c r="G130" s="798">
        <f>+F130*(1+$G$36)*$G$14</f>
        <v>0</v>
      </c>
      <c r="H130" s="798">
        <f>+F130*(1+$G$36)*(1+$H$36)*$H$14</f>
        <v>0</v>
      </c>
      <c r="I130" s="798">
        <f>+F130*(1+$G$36)*(1+$H$36)*(1+$I$36)*$I$14</f>
        <v>0</v>
      </c>
      <c r="J130" s="798">
        <f>+F130*(1+$G$36)*(1+$H$36)*(1+$I$36)*(1+$J$36)*$J$14</f>
        <v>0</v>
      </c>
      <c r="K130" s="798">
        <f>+F130*(1+$G$36)*(1+$H$36)*(1+$I$36)*(1+$J$36)*(1+$K$36)*$K$14</f>
        <v>0</v>
      </c>
      <c r="L130" s="798">
        <f>+F130*(1+$G$36)*(1+$H$36)*(1+$I$36)*(1+$J$36)*(1+$K$36)*(1+$L$36)*$L$14</f>
        <v>0</v>
      </c>
    </row>
    <row r="131" spans="1:12" s="176" customFormat="1" ht="17.25" customHeight="1" x14ac:dyDescent="0.25">
      <c r="A131" s="371"/>
      <c r="C131" s="631" t="s">
        <v>165</v>
      </c>
      <c r="D131" s="782">
        <v>0.23</v>
      </c>
      <c r="E131" s="782">
        <v>0</v>
      </c>
      <c r="F131" s="777"/>
      <c r="G131" s="798">
        <f>+F131*(1+$G$36)*$G$14</f>
        <v>0</v>
      </c>
      <c r="H131" s="798">
        <f>+F131*(1+$G$36)*(1+$H$36)*$H$14</f>
        <v>0</v>
      </c>
      <c r="I131" s="798">
        <f>+F131*(1+$G$36)*(1+$H$36)*(1+$I$36)*$I$14</f>
        <v>0</v>
      </c>
      <c r="J131" s="798">
        <f>+F131*(1+$G$36)*(1+$H$36)*(1+$I$36)*(1+$J$36)*$J$14</f>
        <v>0</v>
      </c>
      <c r="K131" s="798">
        <f>+F131*(1+$G$36)*(1+$H$36)*(1+$I$36)*(1+$J$36)*(1+$K$36)*$K$14</f>
        <v>0</v>
      </c>
      <c r="L131" s="798">
        <f>+F131*(1+$G$36)*(1+$H$36)*(1+$I$36)*(1+$J$36)*(1+$K$36)*(1+$L$36)*$L$14</f>
        <v>0</v>
      </c>
    </row>
    <row r="132" spans="1:12" s="176" customFormat="1" ht="17.25" customHeight="1" x14ac:dyDescent="0.25">
      <c r="A132" s="375"/>
      <c r="C132" s="489" t="s">
        <v>166</v>
      </c>
      <c r="D132" s="636" t="s">
        <v>550</v>
      </c>
      <c r="E132" s="677" t="s">
        <v>319</v>
      </c>
      <c r="F132" s="636" t="s">
        <v>552</v>
      </c>
      <c r="G132" s="575">
        <f t="shared" ref="G132:K132" si="59">+SUM(G133:G139)</f>
        <v>0</v>
      </c>
      <c r="H132" s="53">
        <f t="shared" si="59"/>
        <v>0</v>
      </c>
      <c r="I132" s="53">
        <f t="shared" si="59"/>
        <v>0</v>
      </c>
      <c r="J132" s="53">
        <f t="shared" si="59"/>
        <v>0</v>
      </c>
      <c r="K132" s="53">
        <f t="shared" si="59"/>
        <v>0</v>
      </c>
      <c r="L132" s="53">
        <f t="shared" ref="L132" si="60">+SUM(L133:L139)</f>
        <v>0</v>
      </c>
    </row>
    <row r="133" spans="1:12" s="176" customFormat="1" ht="17.25" customHeight="1" x14ac:dyDescent="0.25">
      <c r="A133" s="371"/>
      <c r="C133" s="631" t="s">
        <v>167</v>
      </c>
      <c r="D133" s="782">
        <v>0.23</v>
      </c>
      <c r="E133" s="782">
        <v>1</v>
      </c>
      <c r="F133" s="777"/>
      <c r="G133" s="798">
        <f t="shared" ref="G133:G139" si="61">+F133*(1+$G$36)*$G$14</f>
        <v>0</v>
      </c>
      <c r="H133" s="798">
        <f t="shared" ref="H133:H139" si="62">+F133*(1+$G$36)*(1+$H$36)*$H$14</f>
        <v>0</v>
      </c>
      <c r="I133" s="798">
        <f t="shared" ref="I133:I139" si="63">+F133*(1+$G$36)*(1+$H$36)*(1+$I$36)*$I$14</f>
        <v>0</v>
      </c>
      <c r="J133" s="798">
        <f t="shared" ref="J133:J139" si="64">+F133*(1+$G$36)*(1+$H$36)*(1+$I$36)*(1+$J$36)*$J$14</f>
        <v>0</v>
      </c>
      <c r="K133" s="798">
        <f t="shared" ref="K133:K139" si="65">+F133*(1+$G$36)*(1+$H$36)*(1+$I$36)*(1+$J$36)*(1+$K$36)*$K$14</f>
        <v>0</v>
      </c>
      <c r="L133" s="798">
        <f t="shared" ref="L133:L139" si="66">+F133*(1+$G$36)*(1+$H$36)*(1+$I$36)*(1+$J$36)*(1+$K$36)*(1+$L$36)*$L$14</f>
        <v>0</v>
      </c>
    </row>
    <row r="134" spans="1:12" s="176" customFormat="1" ht="17.25" customHeight="1" x14ac:dyDescent="0.25">
      <c r="A134" s="371"/>
      <c r="C134" s="631" t="s">
        <v>168</v>
      </c>
      <c r="D134" s="782">
        <v>0.23</v>
      </c>
      <c r="E134" s="782">
        <v>1</v>
      </c>
      <c r="F134" s="777"/>
      <c r="G134" s="798">
        <f t="shared" si="61"/>
        <v>0</v>
      </c>
      <c r="H134" s="798">
        <f t="shared" si="62"/>
        <v>0</v>
      </c>
      <c r="I134" s="798">
        <f t="shared" si="63"/>
        <v>0</v>
      </c>
      <c r="J134" s="798">
        <f t="shared" si="64"/>
        <v>0</v>
      </c>
      <c r="K134" s="798">
        <f t="shared" si="65"/>
        <v>0</v>
      </c>
      <c r="L134" s="798">
        <f t="shared" si="66"/>
        <v>0</v>
      </c>
    </row>
    <row r="135" spans="1:12" s="176" customFormat="1" ht="17.25" customHeight="1" x14ac:dyDescent="0.25">
      <c r="A135" s="371"/>
      <c r="C135" s="631" t="s">
        <v>169</v>
      </c>
      <c r="D135" s="782">
        <v>0</v>
      </c>
      <c r="E135" s="782">
        <v>1</v>
      </c>
      <c r="F135" s="777"/>
      <c r="G135" s="798">
        <f t="shared" si="61"/>
        <v>0</v>
      </c>
      <c r="H135" s="798">
        <f t="shared" si="62"/>
        <v>0</v>
      </c>
      <c r="I135" s="798">
        <f t="shared" si="63"/>
        <v>0</v>
      </c>
      <c r="J135" s="798">
        <f t="shared" si="64"/>
        <v>0</v>
      </c>
      <c r="K135" s="798">
        <f t="shared" si="65"/>
        <v>0</v>
      </c>
      <c r="L135" s="798">
        <f t="shared" si="66"/>
        <v>0</v>
      </c>
    </row>
    <row r="136" spans="1:12" s="176" customFormat="1" ht="17.25" customHeight="1" x14ac:dyDescent="0.25">
      <c r="A136" s="371"/>
      <c r="C136" s="631" t="s">
        <v>170</v>
      </c>
      <c r="D136" s="782">
        <v>0.23</v>
      </c>
      <c r="E136" s="782">
        <v>1</v>
      </c>
      <c r="F136" s="777"/>
      <c r="G136" s="798">
        <f t="shared" si="61"/>
        <v>0</v>
      </c>
      <c r="H136" s="798">
        <f t="shared" si="62"/>
        <v>0</v>
      </c>
      <c r="I136" s="798">
        <f t="shared" si="63"/>
        <v>0</v>
      </c>
      <c r="J136" s="798">
        <f t="shared" si="64"/>
        <v>0</v>
      </c>
      <c r="K136" s="798">
        <f t="shared" si="65"/>
        <v>0</v>
      </c>
      <c r="L136" s="798">
        <f t="shared" si="66"/>
        <v>0</v>
      </c>
    </row>
    <row r="137" spans="1:12" s="176" customFormat="1" ht="17.25" customHeight="1" x14ac:dyDescent="0.25">
      <c r="A137" s="371"/>
      <c r="C137" s="631" t="s">
        <v>171</v>
      </c>
      <c r="D137" s="782">
        <v>0.23</v>
      </c>
      <c r="E137" s="782">
        <v>1</v>
      </c>
      <c r="F137" s="777"/>
      <c r="G137" s="798">
        <f t="shared" si="61"/>
        <v>0</v>
      </c>
      <c r="H137" s="798">
        <f t="shared" si="62"/>
        <v>0</v>
      </c>
      <c r="I137" s="798">
        <f t="shared" si="63"/>
        <v>0</v>
      </c>
      <c r="J137" s="798">
        <f t="shared" si="64"/>
        <v>0</v>
      </c>
      <c r="K137" s="798">
        <f t="shared" si="65"/>
        <v>0</v>
      </c>
      <c r="L137" s="798">
        <f t="shared" si="66"/>
        <v>0</v>
      </c>
    </row>
    <row r="138" spans="1:12" s="176" customFormat="1" ht="17.25" customHeight="1" x14ac:dyDescent="0.25">
      <c r="A138" s="371"/>
      <c r="C138" s="631" t="s">
        <v>172</v>
      </c>
      <c r="D138" s="782">
        <v>0.23</v>
      </c>
      <c r="E138" s="782">
        <v>1</v>
      </c>
      <c r="F138" s="777"/>
      <c r="G138" s="798">
        <f t="shared" si="61"/>
        <v>0</v>
      </c>
      <c r="H138" s="798">
        <f t="shared" si="62"/>
        <v>0</v>
      </c>
      <c r="I138" s="798">
        <f t="shared" si="63"/>
        <v>0</v>
      </c>
      <c r="J138" s="798">
        <f t="shared" si="64"/>
        <v>0</v>
      </c>
      <c r="K138" s="798">
        <f t="shared" si="65"/>
        <v>0</v>
      </c>
      <c r="L138" s="798">
        <f t="shared" si="66"/>
        <v>0</v>
      </c>
    </row>
    <row r="139" spans="1:12" s="176" customFormat="1" ht="17.25" customHeight="1" x14ac:dyDescent="0.25">
      <c r="A139" s="371"/>
      <c r="C139" s="631" t="s">
        <v>173</v>
      </c>
      <c r="D139" s="782">
        <v>0.23</v>
      </c>
      <c r="E139" s="782">
        <v>1</v>
      </c>
      <c r="F139" s="777"/>
      <c r="G139" s="798">
        <f t="shared" si="61"/>
        <v>0</v>
      </c>
      <c r="H139" s="798">
        <f t="shared" si="62"/>
        <v>0</v>
      </c>
      <c r="I139" s="798">
        <f t="shared" si="63"/>
        <v>0</v>
      </c>
      <c r="J139" s="798">
        <f t="shared" si="64"/>
        <v>0</v>
      </c>
      <c r="K139" s="798">
        <f t="shared" si="65"/>
        <v>0</v>
      </c>
      <c r="L139" s="798">
        <f t="shared" si="66"/>
        <v>0</v>
      </c>
    </row>
    <row r="140" spans="1:12" s="176" customFormat="1" ht="17.25" customHeight="1" x14ac:dyDescent="0.25">
      <c r="A140" s="375"/>
      <c r="C140" s="192" t="s">
        <v>174</v>
      </c>
      <c r="D140" s="636" t="s">
        <v>550</v>
      </c>
      <c r="E140" s="677" t="s">
        <v>319</v>
      </c>
      <c r="F140" s="636" t="s">
        <v>552</v>
      </c>
      <c r="G140" s="630">
        <f t="shared" ref="G140:L140" si="67">+SUM(G141)</f>
        <v>0</v>
      </c>
      <c r="H140" s="59">
        <f t="shared" si="67"/>
        <v>0</v>
      </c>
      <c r="I140" s="59">
        <f t="shared" si="67"/>
        <v>0</v>
      </c>
      <c r="J140" s="59">
        <f t="shared" si="67"/>
        <v>0</v>
      </c>
      <c r="K140" s="59">
        <f t="shared" si="67"/>
        <v>0</v>
      </c>
      <c r="L140" s="59">
        <f t="shared" si="67"/>
        <v>0</v>
      </c>
    </row>
    <row r="141" spans="1:12" s="176" customFormat="1" ht="17.25" customHeight="1" x14ac:dyDescent="0.25">
      <c r="A141" s="371"/>
      <c r="C141" s="631" t="s">
        <v>174</v>
      </c>
      <c r="D141" s="782">
        <v>0.23</v>
      </c>
      <c r="E141" s="782">
        <v>1</v>
      </c>
      <c r="F141" s="777"/>
      <c r="G141" s="798">
        <f>+F141*(1+$G$36)*$G$14</f>
        <v>0</v>
      </c>
      <c r="H141" s="798">
        <f>+F141*(1+$G$36)*(1+$H$36)*$H$14</f>
        <v>0</v>
      </c>
      <c r="I141" s="798">
        <f>+F141*(1+$G$36)*(1+$H$36)*(1+$I$36)*$I$14</f>
        <v>0</v>
      </c>
      <c r="J141" s="798">
        <f>+F141*(1+$G$36)*(1+$H$36)*(1+$I$36)*(1+$J$36)*$J$14</f>
        <v>0</v>
      </c>
      <c r="K141" s="798">
        <f>+F141*(1+$G$36)*(1+$H$36)*(1+$I$36)*(1+$J$36)*(1+$K$36)*$K$14</f>
        <v>0</v>
      </c>
      <c r="L141" s="798">
        <f>+F141*(1+$G$36)*(1+$H$36)*(1+$I$36)*(1+$J$36)*(1+$K$36)*(1+$L$36)*$L$14</f>
        <v>0</v>
      </c>
    </row>
    <row r="142" spans="1:12" ht="22.5" customHeight="1" x14ac:dyDescent="0.2"/>
    <row r="143" spans="1:12" s="162" customFormat="1" ht="17.25" customHeight="1" x14ac:dyDescent="0.25">
      <c r="A143" s="378"/>
      <c r="C143" s="180" t="s">
        <v>82</v>
      </c>
      <c r="D143" s="181"/>
      <c r="E143" s="181"/>
      <c r="F143" s="181"/>
      <c r="G143" s="181"/>
      <c r="H143" s="181"/>
      <c r="I143" s="181"/>
      <c r="J143" s="181"/>
      <c r="K143" s="181"/>
      <c r="L143" s="182"/>
    </row>
    <row r="144" spans="1:12" ht="6.75" customHeight="1" x14ac:dyDescent="0.2">
      <c r="A144" s="379"/>
    </row>
    <row r="145" spans="1:12" s="144" customFormat="1" ht="17.25" customHeight="1" x14ac:dyDescent="0.25">
      <c r="A145" s="380"/>
      <c r="C145" s="183" t="s">
        <v>179</v>
      </c>
      <c r="D145" s="179"/>
      <c r="E145" s="179"/>
      <c r="F145" s="179"/>
      <c r="G145" s="172">
        <f t="shared" ref="G145:L145" si="68">+G154+G161+G164+G172+G178+G181+G184</f>
        <v>0</v>
      </c>
      <c r="H145" s="172">
        <f t="shared" si="68"/>
        <v>0</v>
      </c>
      <c r="I145" s="172">
        <f t="shared" si="68"/>
        <v>0</v>
      </c>
      <c r="J145" s="172">
        <f t="shared" si="68"/>
        <v>0</v>
      </c>
      <c r="K145" s="172">
        <f t="shared" si="68"/>
        <v>0</v>
      </c>
      <c r="L145" s="172">
        <f t="shared" si="68"/>
        <v>0</v>
      </c>
    </row>
    <row r="146" spans="1:12" ht="6.75" customHeight="1" x14ac:dyDescent="0.2">
      <c r="A146" s="368"/>
      <c r="L146" s="35"/>
    </row>
    <row r="147" spans="1:12" s="79" customFormat="1" ht="17.25" customHeight="1" x14ac:dyDescent="0.25">
      <c r="A147" s="381"/>
      <c r="C147" s="192" t="s">
        <v>78</v>
      </c>
      <c r="D147" s="185"/>
      <c r="E147" s="185"/>
      <c r="F147" s="185"/>
      <c r="G147" s="61">
        <f t="shared" ref="G147:L147" si="69">+SUM(G148:G152)</f>
        <v>0</v>
      </c>
      <c r="H147" s="61">
        <f t="shared" si="69"/>
        <v>0</v>
      </c>
      <c r="I147" s="61">
        <f t="shared" si="69"/>
        <v>0</v>
      </c>
      <c r="J147" s="61">
        <f t="shared" si="69"/>
        <v>0</v>
      </c>
      <c r="K147" s="61">
        <f t="shared" si="69"/>
        <v>0</v>
      </c>
      <c r="L147" s="62">
        <f t="shared" si="69"/>
        <v>0</v>
      </c>
    </row>
    <row r="148" spans="1:12" s="79" customFormat="1" ht="17.25" customHeight="1" x14ac:dyDescent="0.25">
      <c r="A148" s="371"/>
      <c r="C148" s="799" t="s">
        <v>201</v>
      </c>
      <c r="D148" s="756"/>
      <c r="E148" s="754"/>
      <c r="F148" s="755"/>
      <c r="G148" s="800"/>
      <c r="H148" s="800"/>
      <c r="I148" s="800"/>
      <c r="J148" s="800"/>
      <c r="K148" s="800"/>
      <c r="L148" s="800"/>
    </row>
    <row r="149" spans="1:12" s="79" customFormat="1" ht="17.25" customHeight="1" x14ac:dyDescent="0.25">
      <c r="A149" s="371"/>
      <c r="C149" s="799" t="s">
        <v>202</v>
      </c>
      <c r="D149" s="756"/>
      <c r="E149" s="754"/>
      <c r="F149" s="755"/>
      <c r="G149" s="800"/>
      <c r="H149" s="800"/>
      <c r="I149" s="800"/>
      <c r="J149" s="800"/>
      <c r="K149" s="800"/>
      <c r="L149" s="800"/>
    </row>
    <row r="150" spans="1:12" s="79" customFormat="1" ht="17.25" customHeight="1" x14ac:dyDescent="0.25">
      <c r="A150" s="371"/>
      <c r="C150" s="799" t="s">
        <v>203</v>
      </c>
      <c r="D150" s="756"/>
      <c r="E150" s="754"/>
      <c r="F150" s="755"/>
      <c r="G150" s="800"/>
      <c r="H150" s="800"/>
      <c r="I150" s="800"/>
      <c r="J150" s="800"/>
      <c r="K150" s="800"/>
      <c r="L150" s="800"/>
    </row>
    <row r="151" spans="1:12" s="79" customFormat="1" ht="17.25" customHeight="1" x14ac:dyDescent="0.25">
      <c r="A151" s="371"/>
      <c r="C151" s="799" t="s">
        <v>204</v>
      </c>
      <c r="D151" s="756"/>
      <c r="E151" s="754"/>
      <c r="F151" s="755"/>
      <c r="G151" s="800"/>
      <c r="H151" s="800"/>
      <c r="I151" s="800"/>
      <c r="J151" s="800"/>
      <c r="K151" s="800"/>
      <c r="L151" s="800"/>
    </row>
    <row r="152" spans="1:12" s="79" customFormat="1" ht="17.25" customHeight="1" x14ac:dyDescent="0.25">
      <c r="A152" s="371"/>
      <c r="C152" s="799" t="s">
        <v>21</v>
      </c>
      <c r="D152" s="756"/>
      <c r="E152" s="754"/>
      <c r="F152" s="755"/>
      <c r="G152" s="800"/>
      <c r="H152" s="800"/>
      <c r="I152" s="800"/>
      <c r="J152" s="800"/>
      <c r="K152" s="800"/>
      <c r="L152" s="800"/>
    </row>
    <row r="153" spans="1:12" ht="6.75" customHeight="1" x14ac:dyDescent="0.2">
      <c r="A153" s="368"/>
      <c r="L153" s="35"/>
    </row>
    <row r="154" spans="1:12" s="79" customFormat="1" ht="17.25" customHeight="1" x14ac:dyDescent="0.25">
      <c r="A154" s="371"/>
      <c r="C154" s="192" t="s">
        <v>303</v>
      </c>
      <c r="D154" s="22"/>
      <c r="E154" s="636" t="s">
        <v>319</v>
      </c>
      <c r="F154" s="636" t="s">
        <v>552</v>
      </c>
      <c r="G154" s="188">
        <f t="shared" ref="G154:L154" si="70">+SUM(G155:G159)</f>
        <v>0</v>
      </c>
      <c r="H154" s="188">
        <f t="shared" si="70"/>
        <v>0</v>
      </c>
      <c r="I154" s="188">
        <f t="shared" si="70"/>
        <v>0</v>
      </c>
      <c r="J154" s="188">
        <f t="shared" si="70"/>
        <v>0</v>
      </c>
      <c r="K154" s="188">
        <f t="shared" si="70"/>
        <v>0</v>
      </c>
      <c r="L154" s="188">
        <f t="shared" si="70"/>
        <v>0</v>
      </c>
    </row>
    <row r="155" spans="1:12" s="79" customFormat="1" ht="17.25" customHeight="1" x14ac:dyDescent="0.25">
      <c r="A155" s="371"/>
      <c r="C155" s="758" t="str">
        <f>+C148</f>
        <v>Gerência</v>
      </c>
      <c r="D155" s="757"/>
      <c r="E155" s="801"/>
      <c r="F155" s="800"/>
      <c r="G155" s="742">
        <f>+F155*G148*($G$14+$G$14*2/12)</f>
        <v>0</v>
      </c>
      <c r="H155" s="742">
        <f>+(F155*(1+$H$37))*H148*($H$14+$H$14*2/12)</f>
        <v>0</v>
      </c>
      <c r="I155" s="742">
        <f>+(F155*(1+$H$37)*(1+$I$37))*I148*($I$14+$I$14*2/12)</f>
        <v>0</v>
      </c>
      <c r="J155" s="742">
        <f>+(F155*(1+$H$37)*(1+$I$37)*(1+$J$37))*J148*($J$14+$J$14*2/12)</f>
        <v>0</v>
      </c>
      <c r="K155" s="742">
        <f>+(F155*(1+$H$37)*(1+$I$37)*(1+$J$37)*(1+$K$37))*K148*($K$14+$K$14*2/12)</f>
        <v>0</v>
      </c>
      <c r="L155" s="742">
        <f>+(F155*(1+$H$37)*(1+$I$37)*(1+$J$37)*(1+$K$37)*(1+$L$37))*L148*($L$14+$L$14*2/12)</f>
        <v>0</v>
      </c>
    </row>
    <row r="156" spans="1:12" s="79" customFormat="1" ht="17.25" customHeight="1" x14ac:dyDescent="0.25">
      <c r="A156" s="371"/>
      <c r="C156" s="758" t="str">
        <f>+C149</f>
        <v>Administrativo</v>
      </c>
      <c r="D156" s="757"/>
      <c r="E156" s="801"/>
      <c r="F156" s="800"/>
      <c r="G156" s="743">
        <f>+F156*G149*($G$14+$G$14*2/12)</f>
        <v>0</v>
      </c>
      <c r="H156" s="742">
        <f>+(F156*(1+$H$37))*H149*($H$14+$H$14*2/12)</f>
        <v>0</v>
      </c>
      <c r="I156" s="742">
        <f>+(F156*(1+$H$37)*(1+$I$37))*I149*($I$14+$I$14*2/12)</f>
        <v>0</v>
      </c>
      <c r="J156" s="742">
        <f>+(F156*(1+$H$37)*(1+$I$37)*(1+$J$37))*J149*($J$14+$J$14*2/12)</f>
        <v>0</v>
      </c>
      <c r="K156" s="742">
        <f>+(F156*(1+$H$37)*(1+$I$37)*(1+$J$37)*(1+$K$37))*K149*($K$14+$K$14*2/12)</f>
        <v>0</v>
      </c>
      <c r="L156" s="742">
        <f>+(F156*(1+$H$37)*(1+$I$37)*(1+$J$37)*(1+$K$37)*(1+$L$37))*L149*($L$14+$L$14*2/12)</f>
        <v>0</v>
      </c>
    </row>
    <row r="157" spans="1:12" s="79" customFormat="1" ht="17.25" customHeight="1" x14ac:dyDescent="0.25">
      <c r="A157" s="371"/>
      <c r="C157" s="758" t="str">
        <f>+C150</f>
        <v>Comerciais</v>
      </c>
      <c r="D157" s="757"/>
      <c r="E157" s="801"/>
      <c r="F157" s="800"/>
      <c r="G157" s="743">
        <f>+F157*G150*($G$14+$G$14*2/12)</f>
        <v>0</v>
      </c>
      <c r="H157" s="742">
        <f>+(F157*(1+$H$37))*H150*($H$14+$H$14*2/12)</f>
        <v>0</v>
      </c>
      <c r="I157" s="742">
        <f>+(F157*(1+$H$37)*(1+$I$37))*I150*($I$14+$I$14*2/12)</f>
        <v>0</v>
      </c>
      <c r="J157" s="742">
        <f>+(F157*(1+$H$37)*(1+$I$37)*(1+$J$37))*J150*($J$14+$J$14*2/12)</f>
        <v>0</v>
      </c>
      <c r="K157" s="742">
        <f>+(F157*(1+$H$37)*(1+$I$37)*(1+$J$37)*(1+$K$37))*K150*($K$14+$K$14*2/12)</f>
        <v>0</v>
      </c>
      <c r="L157" s="742">
        <f>+(F157*(1+$H$37)*(1+$I$37)*(1+$J$37)*(1+$K$37)*(1+$L$37))*L150*($L$14+$L$14*2/12)</f>
        <v>0</v>
      </c>
    </row>
    <row r="158" spans="1:12" s="79" customFormat="1" ht="17.25" customHeight="1" x14ac:dyDescent="0.25">
      <c r="A158" s="371"/>
      <c r="C158" s="758" t="str">
        <f>+C151</f>
        <v>Operacionais</v>
      </c>
      <c r="D158" s="757"/>
      <c r="E158" s="802"/>
      <c r="F158" s="800"/>
      <c r="G158" s="743">
        <f>+F158*G151*($G$14+$G$14*2/12)</f>
        <v>0</v>
      </c>
      <c r="H158" s="742">
        <f>+(F158*(1+$H$37))*H151*($H$14+$H$14*2/12)</f>
        <v>0</v>
      </c>
      <c r="I158" s="742">
        <f>+(F158*(1+$H$37)*(1+$I$37))*I151*($I$14+$I$14*2/12)</f>
        <v>0</v>
      </c>
      <c r="J158" s="742">
        <f>+(F158*(1+$H$37)*(1+$I$37)*(1+$J$37))*J151*($J$14+$J$14*2/12)</f>
        <v>0</v>
      </c>
      <c r="K158" s="742">
        <f>+(F158*(1+$H$37)*(1+$I$37)*(1+$J$37)*(1+$K$37))*K151*($K$14+$K$14*2/12)</f>
        <v>0</v>
      </c>
      <c r="L158" s="742">
        <f>+(F158*(1+$H$37)*(1+$I$37)*(1+$J$37)*(1+$K$37)*(1+$L$37))*L151*($L$14+$L$14*2/12)</f>
        <v>0</v>
      </c>
    </row>
    <row r="159" spans="1:12" s="79" customFormat="1" ht="17.25" customHeight="1" x14ac:dyDescent="0.25">
      <c r="A159" s="371"/>
      <c r="C159" s="758" t="str">
        <f>+C152</f>
        <v>Outros</v>
      </c>
      <c r="D159" s="757"/>
      <c r="E159" s="801"/>
      <c r="F159" s="800"/>
      <c r="G159" s="743">
        <f>+F159*G152*($G$14+$G$14*2/12)</f>
        <v>0</v>
      </c>
      <c r="H159" s="742">
        <f>+(F159*(1+$H$37))*H152*($H$14+$H$14*2/12)</f>
        <v>0</v>
      </c>
      <c r="I159" s="742">
        <f>+(F159*(1+$H$37)*(1+$I$37))*I152*($I$14+$I$14*2/12)</f>
        <v>0</v>
      </c>
      <c r="J159" s="742">
        <f>+(F159*(1+$H$37)*(1+$I$37)*(1+$J$37))*J152*($J$14+$J$14*2/12)</f>
        <v>0</v>
      </c>
      <c r="K159" s="742">
        <f>+(F159*(1+$H$37)*(1+$I$37)*(1+$J$37)*(1+$K$37))*K152*($K$14+$K$14*2/12)</f>
        <v>0</v>
      </c>
      <c r="L159" s="742">
        <f>+(F159*(1+$H$37)*(1+$I$37)*(1+$J$37)*(1+$K$37)*(1+$L$37))*L152*($L$14+$L$14*2/12)</f>
        <v>0</v>
      </c>
    </row>
    <row r="160" spans="1:12" ht="6.75" customHeight="1" x14ac:dyDescent="0.2">
      <c r="A160" s="368"/>
      <c r="C160" s="759"/>
      <c r="D160" s="759"/>
      <c r="L160" s="35"/>
    </row>
    <row r="161" spans="1:12" s="79" customFormat="1" ht="17.25" customHeight="1" x14ac:dyDescent="0.25">
      <c r="A161" s="371"/>
      <c r="C161" s="192" t="s">
        <v>304</v>
      </c>
      <c r="D161" s="22"/>
      <c r="E161" s="636" t="s">
        <v>319</v>
      </c>
      <c r="F161" s="636" t="s">
        <v>552</v>
      </c>
      <c r="G161" s="188">
        <f t="shared" ref="G161:L161" si="71">+SUM(G162)</f>
        <v>0</v>
      </c>
      <c r="H161" s="188">
        <f t="shared" si="71"/>
        <v>0</v>
      </c>
      <c r="I161" s="188">
        <f t="shared" si="71"/>
        <v>0</v>
      </c>
      <c r="J161" s="188">
        <f t="shared" si="71"/>
        <v>0</v>
      </c>
      <c r="K161" s="188">
        <f t="shared" si="71"/>
        <v>0</v>
      </c>
      <c r="L161" s="188">
        <f t="shared" si="71"/>
        <v>0</v>
      </c>
    </row>
    <row r="162" spans="1:12" ht="17.25" customHeight="1" x14ac:dyDescent="0.2">
      <c r="A162" s="371"/>
      <c r="C162" s="101" t="s">
        <v>83</v>
      </c>
      <c r="D162" s="191"/>
      <c r="E162" s="801"/>
      <c r="F162" s="803"/>
      <c r="G162" s="744">
        <f>+IF(G14=0,0,IF(G14&lt;=6,F162*G147*($G$14-0.5)*21,F162*G147*($G$14-1)*21))</f>
        <v>0</v>
      </c>
      <c r="H162" s="745">
        <f>+IF(G14&lt;=6,(F162*(1+$H$37))*H147*($H$14-0.5)*21,(F162*(1+$H$37))*H147*($H$14-1)*21)</f>
        <v>0</v>
      </c>
      <c r="I162" s="745">
        <f>++IF(G14&lt;=6,(F162*(1+$H$37)*(1+$I$37))*I147*($I$14-0.5)*21,(F162*(1+$H$37)*(1+$I$37))*I147*($I$14-1)*21)</f>
        <v>0</v>
      </c>
      <c r="J162" s="745">
        <f>+IF(J14&lt;=6,(F162*(1+$H$37)*(1+$I$37)*(1+$J$37))*J147*($J$14-0.5)*21,F162*(1+$H$37)*(1+$I$37)*(1+$J$37))*J147*($J$14-1)*21</f>
        <v>0</v>
      </c>
      <c r="K162" s="745">
        <f>+IF(K14&lt;=6,($F$162*(1+$H$37)*(1+$I$37)*(1+$J$37)*(1+$K$37))*K147*($K$14-0.5)*21,($F$162*(1+$H$37)*(1+$I$37)*(1+$J$37)*(1+$K$37))*K147*($K$14-1)*21)</f>
        <v>0</v>
      </c>
      <c r="L162" s="745">
        <f>+IF(L14&lt;=6,($F$162*(1+$H$37)*(1+$I$37)*(1+$J$37)*(1+$K$37))*L147*($K$14-0.5)*21,($F$162*(1+$H$37)*(1+$I$37)*(1+$J$37)*(1+$K$37))*L147*($K$14-1)*21)</f>
        <v>0</v>
      </c>
    </row>
    <row r="163" spans="1:12" ht="6.75" customHeight="1" x14ac:dyDescent="0.2">
      <c r="A163" s="368"/>
      <c r="L163" s="35"/>
    </row>
    <row r="164" spans="1:12" s="79" customFormat="1" ht="17.25" customHeight="1" x14ac:dyDescent="0.25">
      <c r="A164" s="371"/>
      <c r="C164" s="192" t="s">
        <v>207</v>
      </c>
      <c r="D164" s="185"/>
      <c r="E164" s="636" t="s">
        <v>319</v>
      </c>
      <c r="F164" s="636" t="s">
        <v>552</v>
      </c>
      <c r="G164" s="188">
        <f t="shared" ref="G164:L164" si="72">+SUM(G165:G169)</f>
        <v>0</v>
      </c>
      <c r="H164" s="188">
        <f t="shared" si="72"/>
        <v>0</v>
      </c>
      <c r="I164" s="188">
        <f t="shared" si="72"/>
        <v>0</v>
      </c>
      <c r="J164" s="188">
        <f t="shared" si="72"/>
        <v>0</v>
      </c>
      <c r="K164" s="188">
        <f t="shared" si="72"/>
        <v>0</v>
      </c>
      <c r="L164" s="188">
        <f t="shared" si="72"/>
        <v>0</v>
      </c>
    </row>
    <row r="165" spans="1:12" ht="17.25" customHeight="1" x14ac:dyDescent="0.2">
      <c r="A165" s="371"/>
      <c r="C165" s="758" t="str">
        <f>+C148</f>
        <v>Gerência</v>
      </c>
      <c r="D165" s="757"/>
      <c r="E165" s="801"/>
      <c r="F165" s="804"/>
      <c r="G165" s="742">
        <f>+F165*G148*($G$14)</f>
        <v>0</v>
      </c>
      <c r="H165" s="742">
        <f>+(F165*(1+$H$37))*H148*($H$14)</f>
        <v>0</v>
      </c>
      <c r="I165" s="742">
        <f>+(F165*(1+$H$37)*(1+$I$37))*I148*($I$14)</f>
        <v>0</v>
      </c>
      <c r="J165" s="742">
        <f>+(F165*(1+$H$37)*(1+$I$37)*(1+$J$37))*J148*($J$14)</f>
        <v>0</v>
      </c>
      <c r="K165" s="742">
        <f>+(F165*(1+$H$37)*(1+$I$37)*(1+$J$37)*(1+$K$37))*K148*($K$14)</f>
        <v>0</v>
      </c>
      <c r="L165" s="742">
        <f>+(F165*(1+$H$37)*(1+$I$37)*(1+$J$37)*(1+$K$37))*(1+$L$37)*L148*($L$14)</f>
        <v>0</v>
      </c>
    </row>
    <row r="166" spans="1:12" ht="17.25" customHeight="1" x14ac:dyDescent="0.2">
      <c r="A166" s="371"/>
      <c r="C166" s="758" t="str">
        <f t="shared" ref="C166:C169" si="73">+C149</f>
        <v>Administrativo</v>
      </c>
      <c r="D166" s="757"/>
      <c r="E166" s="801"/>
      <c r="F166" s="804"/>
      <c r="G166" s="743">
        <f>+F166*G149*($G$14)</f>
        <v>0</v>
      </c>
      <c r="H166" s="742">
        <f>+(F166*(1+$H$37))*H149*($H$14)</f>
        <v>0</v>
      </c>
      <c r="I166" s="742">
        <f>+(F166*(1+$H$37)*(1+$I$37))*I149*($I$14)</f>
        <v>0</v>
      </c>
      <c r="J166" s="742">
        <f>+(F166*(1+$H$37)*(1+$I$37)*(1+$J$37))*J149*($J$14)</f>
        <v>0</v>
      </c>
      <c r="K166" s="742">
        <f>+(F166*(1+$H$37)*(1+$I$37)*(1+$J$37)*(1+$K$37))*K149*($K$14)</f>
        <v>0</v>
      </c>
      <c r="L166" s="742">
        <f>+(F166*(1+$H$37)*(1+$I$37)*(1+$J$37)*(1+$K$37))*(1+$L$37)*L149*($L$14)</f>
        <v>0</v>
      </c>
    </row>
    <row r="167" spans="1:12" ht="17.25" customHeight="1" x14ac:dyDescent="0.2">
      <c r="A167" s="371"/>
      <c r="C167" s="758" t="str">
        <f t="shared" si="73"/>
        <v>Comerciais</v>
      </c>
      <c r="D167" s="757"/>
      <c r="E167" s="801"/>
      <c r="F167" s="804"/>
      <c r="G167" s="743">
        <f>+F167*G150*($G$14)</f>
        <v>0</v>
      </c>
      <c r="H167" s="742">
        <f>+(F167*(1+$H$37))*H150*($H$14)</f>
        <v>0</v>
      </c>
      <c r="I167" s="742">
        <f>+(F167*(1+$H$37)*(1+$I$37))*I150*($I$14)</f>
        <v>0</v>
      </c>
      <c r="J167" s="742">
        <f>+(F167*(1+$H$37)*(1+$I$37)*(1+$J$37))*J150*($J$14)</f>
        <v>0</v>
      </c>
      <c r="K167" s="742">
        <f>+(F167*(1+$H$37)*(1+$I$37)*(1+$J$37)*(1+$K$37))*K150*($K$14)</f>
        <v>0</v>
      </c>
      <c r="L167" s="742">
        <f>+(F167*(1+$H$37)*(1+$I$37)*(1+$J$37)*(1+$K$37))*(1+$L$37)*L150*($L$14)</f>
        <v>0</v>
      </c>
    </row>
    <row r="168" spans="1:12" ht="17.25" customHeight="1" x14ac:dyDescent="0.2">
      <c r="A168" s="371"/>
      <c r="C168" s="758" t="str">
        <f t="shared" si="73"/>
        <v>Operacionais</v>
      </c>
      <c r="D168" s="757"/>
      <c r="E168" s="801"/>
      <c r="F168" s="804"/>
      <c r="G168" s="743">
        <f>+F168*G151*($G$14)</f>
        <v>0</v>
      </c>
      <c r="H168" s="742">
        <f>+(F168*(1+$H$37))*H151*($H$14)</f>
        <v>0</v>
      </c>
      <c r="I168" s="742">
        <f>+(F168*(1+$H$37)*(1+$I$37))*I151*($I$14)</f>
        <v>0</v>
      </c>
      <c r="J168" s="742">
        <f>+(F168*(1+$H$37)*(1+$I$37)*(1+$J$37))*J151*($J$14)</f>
        <v>0</v>
      </c>
      <c r="K168" s="742">
        <f>+(F168*(1+$H$37)*(1+$I$37)*(1+$J$37)*(1+$K$37))*K151*($K$14)</f>
        <v>0</v>
      </c>
      <c r="L168" s="742">
        <f>+(F168*(1+$H$37)*(1+$I$37)*(1+$J$37)*(1+$K$37))*(1+$L$37)*L151*($L$14)</f>
        <v>0</v>
      </c>
    </row>
    <row r="169" spans="1:12" ht="17.25" customHeight="1" x14ac:dyDescent="0.2">
      <c r="A169" s="371"/>
      <c r="C169" s="758" t="str">
        <f t="shared" si="73"/>
        <v>Outros</v>
      </c>
      <c r="D169" s="757"/>
      <c r="E169" s="801"/>
      <c r="F169" s="804"/>
      <c r="G169" s="743">
        <f>+F169*G152*($G$14)</f>
        <v>0</v>
      </c>
      <c r="H169" s="742">
        <f>+(F169*(1+$H$37))*H152*($H$14)</f>
        <v>0</v>
      </c>
      <c r="I169" s="742">
        <f>+(F169*(1+$H$37)*(1+$I$37))*I152*($I$14)</f>
        <v>0</v>
      </c>
      <c r="J169" s="742">
        <f>+(F169*(1+$H$37)*(1+$I$37)*(1+$J$37))*J152*($J$14)</f>
        <v>0</v>
      </c>
      <c r="K169" s="742">
        <f>+(F169*(1+$H$37)*(1+$I$37)*(1+$J$37)*(1+$K$37))*K152*($K$14)</f>
        <v>0</v>
      </c>
      <c r="L169" s="742">
        <f>+(F169*(1+$H$37)*(1+$I$37)*(1+$J$37)*(1+$K$37))*(1+$L$37)*L152*($L$14)</f>
        <v>0</v>
      </c>
    </row>
    <row r="170" spans="1:12" ht="6.75" customHeight="1" x14ac:dyDescent="0.2">
      <c r="A170" s="368"/>
      <c r="G170" s="68"/>
      <c r="L170" s="35"/>
    </row>
    <row r="171" spans="1:12" s="79" customFormat="1" ht="17.25" customHeight="1" x14ac:dyDescent="0.25">
      <c r="A171" s="371"/>
      <c r="C171" s="192" t="s">
        <v>227</v>
      </c>
      <c r="D171" s="185"/>
      <c r="E171" s="636" t="s">
        <v>319</v>
      </c>
      <c r="F171" s="185"/>
      <c r="G171" s="188">
        <f t="shared" ref="G171:L171" si="74">+SUM(G172:G173)</f>
        <v>0</v>
      </c>
      <c r="H171" s="188">
        <f t="shared" si="74"/>
        <v>0</v>
      </c>
      <c r="I171" s="188">
        <f t="shared" si="74"/>
        <v>0</v>
      </c>
      <c r="J171" s="188">
        <f t="shared" si="74"/>
        <v>0</v>
      </c>
      <c r="K171" s="188">
        <f t="shared" si="74"/>
        <v>0</v>
      </c>
      <c r="L171" s="188">
        <f t="shared" si="74"/>
        <v>0</v>
      </c>
    </row>
    <row r="172" spans="1:12" ht="17.25" customHeight="1" x14ac:dyDescent="0.2">
      <c r="A172" s="371"/>
      <c r="C172" s="761" t="str">
        <f>+C22</f>
        <v>TSU Empresa</v>
      </c>
      <c r="D172" s="760"/>
      <c r="E172" s="801"/>
      <c r="F172" s="751"/>
      <c r="G172" s="744">
        <f t="shared" ref="G172:L172" si="75">+(G$154+G$164)*$D$22</f>
        <v>0</v>
      </c>
      <c r="H172" s="745">
        <f t="shared" si="75"/>
        <v>0</v>
      </c>
      <c r="I172" s="745">
        <f t="shared" si="75"/>
        <v>0</v>
      </c>
      <c r="J172" s="745">
        <f t="shared" si="75"/>
        <v>0</v>
      </c>
      <c r="K172" s="745">
        <f t="shared" si="75"/>
        <v>0</v>
      </c>
      <c r="L172" s="745">
        <f t="shared" si="75"/>
        <v>0</v>
      </c>
    </row>
    <row r="173" spans="1:12" ht="17.25" customHeight="1" x14ac:dyDescent="0.2">
      <c r="A173" s="371"/>
      <c r="C173" s="762" t="str">
        <f>+C23</f>
        <v>TSU Colaboradores</v>
      </c>
      <c r="D173" s="750"/>
      <c r="E173" s="750"/>
      <c r="F173" s="751"/>
      <c r="G173" s="744">
        <f t="shared" ref="G173:L173" si="76">+(G$154+G$164)*$D$23</f>
        <v>0</v>
      </c>
      <c r="H173" s="745">
        <f t="shared" si="76"/>
        <v>0</v>
      </c>
      <c r="I173" s="745">
        <f t="shared" si="76"/>
        <v>0</v>
      </c>
      <c r="J173" s="745">
        <f t="shared" si="76"/>
        <v>0</v>
      </c>
      <c r="K173" s="745">
        <f t="shared" si="76"/>
        <v>0</v>
      </c>
      <c r="L173" s="745">
        <f t="shared" si="76"/>
        <v>0</v>
      </c>
    </row>
    <row r="174" spans="1:12" ht="6.75" customHeight="1" x14ac:dyDescent="0.2">
      <c r="A174" s="368"/>
      <c r="L174" s="35"/>
    </row>
    <row r="175" spans="1:12" s="79" customFormat="1" ht="17.25" customHeight="1" x14ac:dyDescent="0.25">
      <c r="A175" s="371"/>
      <c r="C175" s="192" t="s">
        <v>77</v>
      </c>
      <c r="D175" s="185"/>
      <c r="E175" s="185"/>
      <c r="F175" s="185"/>
      <c r="G175" s="188">
        <f t="shared" ref="G175:L175" si="77">+G176</f>
        <v>0</v>
      </c>
      <c r="H175" s="188">
        <f t="shared" si="77"/>
        <v>0</v>
      </c>
      <c r="I175" s="188">
        <f t="shared" si="77"/>
        <v>0</v>
      </c>
      <c r="J175" s="188">
        <f t="shared" si="77"/>
        <v>0</v>
      </c>
      <c r="K175" s="188">
        <f t="shared" si="77"/>
        <v>0</v>
      </c>
      <c r="L175" s="188">
        <f t="shared" si="77"/>
        <v>0</v>
      </c>
    </row>
    <row r="176" spans="1:12" s="79" customFormat="1" ht="17.25" customHeight="1" x14ac:dyDescent="0.25">
      <c r="A176" s="371"/>
      <c r="C176" s="763" t="s">
        <v>77</v>
      </c>
      <c r="D176" s="756"/>
      <c r="E176" s="754"/>
      <c r="F176" s="755"/>
      <c r="G176" s="743">
        <f t="shared" ref="G176:L176" si="78">+(G$154+G$164)*$D$20</f>
        <v>0</v>
      </c>
      <c r="H176" s="742">
        <f t="shared" si="78"/>
        <v>0</v>
      </c>
      <c r="I176" s="742">
        <f t="shared" si="78"/>
        <v>0</v>
      </c>
      <c r="J176" s="742">
        <f t="shared" si="78"/>
        <v>0</v>
      </c>
      <c r="K176" s="742">
        <f t="shared" si="78"/>
        <v>0</v>
      </c>
      <c r="L176" s="742">
        <f t="shared" si="78"/>
        <v>0</v>
      </c>
    </row>
    <row r="177" spans="1:12" ht="6.75" customHeight="1" x14ac:dyDescent="0.2">
      <c r="A177" s="368"/>
      <c r="L177" s="35"/>
    </row>
    <row r="178" spans="1:12" s="79" customFormat="1" ht="17.25" customHeight="1" x14ac:dyDescent="0.25">
      <c r="A178" s="371"/>
      <c r="C178" s="192" t="s">
        <v>217</v>
      </c>
      <c r="D178" s="185"/>
      <c r="E178" s="185"/>
      <c r="F178" s="185"/>
      <c r="G178" s="188">
        <f t="shared" ref="G178:L178" si="79">+G179</f>
        <v>0</v>
      </c>
      <c r="H178" s="188">
        <f t="shared" si="79"/>
        <v>0</v>
      </c>
      <c r="I178" s="188">
        <f t="shared" si="79"/>
        <v>0</v>
      </c>
      <c r="J178" s="188">
        <f t="shared" si="79"/>
        <v>0</v>
      </c>
      <c r="K178" s="188">
        <f t="shared" si="79"/>
        <v>0</v>
      </c>
      <c r="L178" s="188">
        <f t="shared" si="79"/>
        <v>0</v>
      </c>
    </row>
    <row r="179" spans="1:12" ht="17.25" customHeight="1" x14ac:dyDescent="0.2">
      <c r="A179" s="368"/>
      <c r="C179" s="763" t="s">
        <v>217</v>
      </c>
      <c r="D179" s="750"/>
      <c r="E179" s="801"/>
      <c r="F179" s="751"/>
      <c r="G179" s="744">
        <f t="shared" ref="G179:L179" si="80">+(G$154+G$164)*$D$25</f>
        <v>0</v>
      </c>
      <c r="H179" s="745">
        <f t="shared" si="80"/>
        <v>0</v>
      </c>
      <c r="I179" s="745">
        <f t="shared" si="80"/>
        <v>0</v>
      </c>
      <c r="J179" s="745">
        <f t="shared" si="80"/>
        <v>0</v>
      </c>
      <c r="K179" s="745">
        <f t="shared" si="80"/>
        <v>0</v>
      </c>
      <c r="L179" s="745">
        <f t="shared" si="80"/>
        <v>0</v>
      </c>
    </row>
    <row r="180" spans="1:12" ht="6.75" customHeight="1" x14ac:dyDescent="0.2">
      <c r="A180" s="368"/>
      <c r="L180" s="35"/>
    </row>
    <row r="181" spans="1:12" s="79" customFormat="1" ht="17.25" customHeight="1" x14ac:dyDescent="0.25">
      <c r="A181" s="371"/>
      <c r="C181" s="192" t="s">
        <v>216</v>
      </c>
      <c r="D181" s="185"/>
      <c r="E181" s="185"/>
      <c r="F181" s="185"/>
      <c r="G181" s="637">
        <f t="shared" ref="G181:L181" si="81">+G182</f>
        <v>0</v>
      </c>
      <c r="H181" s="188">
        <f t="shared" si="81"/>
        <v>0</v>
      </c>
      <c r="I181" s="188">
        <f t="shared" si="81"/>
        <v>0</v>
      </c>
      <c r="J181" s="188">
        <f t="shared" si="81"/>
        <v>0</v>
      </c>
      <c r="K181" s="188">
        <f t="shared" si="81"/>
        <v>0</v>
      </c>
      <c r="L181" s="188">
        <f t="shared" si="81"/>
        <v>0</v>
      </c>
    </row>
    <row r="182" spans="1:12" ht="17.25" customHeight="1" x14ac:dyDescent="0.2">
      <c r="A182" s="368"/>
      <c r="C182" s="763" t="s">
        <v>216</v>
      </c>
      <c r="D182" s="750"/>
      <c r="E182" s="801"/>
      <c r="F182" s="751"/>
      <c r="G182" s="745">
        <f t="shared" ref="G182:L182" si="82">+(G154+G164)*$D$26</f>
        <v>0</v>
      </c>
      <c r="H182" s="744">
        <f t="shared" si="82"/>
        <v>0</v>
      </c>
      <c r="I182" s="745">
        <f t="shared" si="82"/>
        <v>0</v>
      </c>
      <c r="J182" s="745">
        <f t="shared" si="82"/>
        <v>0</v>
      </c>
      <c r="K182" s="745">
        <f t="shared" si="82"/>
        <v>0</v>
      </c>
      <c r="L182" s="745">
        <f t="shared" si="82"/>
        <v>0</v>
      </c>
    </row>
    <row r="183" spans="1:12" ht="6.75" customHeight="1" x14ac:dyDescent="0.2">
      <c r="A183" s="368"/>
      <c r="L183" s="35"/>
    </row>
    <row r="184" spans="1:12" s="79" customFormat="1" ht="17.25" customHeight="1" x14ac:dyDescent="0.25">
      <c r="A184" s="371"/>
      <c r="C184" s="192" t="s">
        <v>206</v>
      </c>
      <c r="D184" s="185"/>
      <c r="E184" s="801"/>
      <c r="F184" s="185"/>
      <c r="G184" s="189">
        <f t="shared" ref="G184:L184" si="83">+SUM(G186:G189)</f>
        <v>0</v>
      </c>
      <c r="H184" s="189">
        <f t="shared" si="83"/>
        <v>0</v>
      </c>
      <c r="I184" s="189">
        <f t="shared" si="83"/>
        <v>0</v>
      </c>
      <c r="J184" s="189">
        <f t="shared" si="83"/>
        <v>0</v>
      </c>
      <c r="K184" s="189">
        <f t="shared" si="83"/>
        <v>0</v>
      </c>
      <c r="L184" s="189">
        <f t="shared" si="83"/>
        <v>0</v>
      </c>
    </row>
    <row r="185" spans="1:12" s="79" customFormat="1" ht="17.25" customHeight="1" x14ac:dyDescent="0.25">
      <c r="A185" s="371"/>
      <c r="C185" s="173" t="s">
        <v>35</v>
      </c>
      <c r="D185" s="22" t="s">
        <v>558</v>
      </c>
      <c r="E185" s="185"/>
      <c r="F185" s="639" t="s">
        <v>552</v>
      </c>
      <c r="G185" s="189">
        <f t="shared" ref="G185:L185" si="84">+G$186*$D$186+G$187*$D$187+G$188*$D$188+G$189*$D$189</f>
        <v>0</v>
      </c>
      <c r="H185" s="189">
        <f t="shared" si="84"/>
        <v>0</v>
      </c>
      <c r="I185" s="189">
        <f t="shared" si="84"/>
        <v>0</v>
      </c>
      <c r="J185" s="189">
        <f t="shared" si="84"/>
        <v>0</v>
      </c>
      <c r="K185" s="189">
        <f t="shared" si="84"/>
        <v>0</v>
      </c>
      <c r="L185" s="189">
        <f t="shared" si="84"/>
        <v>0</v>
      </c>
    </row>
    <row r="186" spans="1:12" ht="17.25" customHeight="1" x14ac:dyDescent="0.2">
      <c r="A186" s="368"/>
      <c r="C186" s="101" t="s">
        <v>205</v>
      </c>
      <c r="D186" s="805">
        <v>0.23</v>
      </c>
      <c r="E186" s="750"/>
      <c r="F186" s="806"/>
      <c r="G186" s="742">
        <f>+F186*$G$147*($G$14)</f>
        <v>0</v>
      </c>
      <c r="H186" s="742">
        <f>+(F186*(1+$H$37))*$H$147*($H$14)</f>
        <v>0</v>
      </c>
      <c r="I186" s="742">
        <f>+(F186*(1+$H$37)*(1+$I$37))*$I$147*($I$14)</f>
        <v>0</v>
      </c>
      <c r="J186" s="742">
        <f>+(F186*(1+$H$37)*(1+$I$37)*(1+$J$37))*$J$147*($J$14)</f>
        <v>0</v>
      </c>
      <c r="K186" s="742">
        <f>+(F186*(1+$H$37)*(1+$I$37)*(1+$J$37)*(1+$K$37))*$K$147*($K$14)</f>
        <v>0</v>
      </c>
      <c r="L186" s="742">
        <f>+(F186*(1+$H$37)*(1+$I$37)*(1+$J$37)*(1+$K$37))*(1+$L$37)*$L$147*($L$14)</f>
        <v>0</v>
      </c>
    </row>
    <row r="187" spans="1:12" ht="17.25" customHeight="1" x14ac:dyDescent="0.2">
      <c r="A187" s="368"/>
      <c r="C187" s="101" t="s">
        <v>556</v>
      </c>
      <c r="D187" s="805">
        <v>0.13</v>
      </c>
      <c r="E187" s="750"/>
      <c r="F187" s="806"/>
      <c r="G187" s="742">
        <f>+F187*$G$147*($G$14)</f>
        <v>0</v>
      </c>
      <c r="H187" s="742">
        <f>+(F187*(1+$H$37))*$H$147*($H$14)</f>
        <v>0</v>
      </c>
      <c r="I187" s="742">
        <f>+(F187*(1+$H$37)*(1+$I$37))*$I$147*($I$14)</f>
        <v>0</v>
      </c>
      <c r="J187" s="742">
        <f>+(F187*(1+$H$37)*(1+$I$37)*(1+$J$37))*$J$147*($J$14)</f>
        <v>0</v>
      </c>
      <c r="K187" s="742">
        <f>+(F187*(1+$H$37)*(1+$I$37)*(1+$J$37)*(1+$K$37))*$K$147*($K$14)</f>
        <v>0</v>
      </c>
      <c r="L187" s="742">
        <f>+(F187*(1+$H$37)*(1+$I$37)*(1+$J$37)*(1+$K$37))*(1+$L$37)*$L$147*($L$14)</f>
        <v>0</v>
      </c>
    </row>
    <row r="188" spans="1:12" ht="17.25" customHeight="1" x14ac:dyDescent="0.2">
      <c r="A188" s="368"/>
      <c r="C188" s="101" t="s">
        <v>557</v>
      </c>
      <c r="D188" s="805">
        <v>0.23</v>
      </c>
      <c r="E188" s="750"/>
      <c r="F188" s="806"/>
      <c r="G188" s="742">
        <f>+F188*$G$147*($G$14)</f>
        <v>0</v>
      </c>
      <c r="H188" s="742">
        <f>+(F188*(1+$H$37))*$H$147*($H$14)</f>
        <v>0</v>
      </c>
      <c r="I188" s="742">
        <f>+(F188*(1+$H$37)*(1+$I$37))*$I$147*($I$14)</f>
        <v>0</v>
      </c>
      <c r="J188" s="742">
        <f>+(F188*(1+$H$37)*(1+$I$37)*(1+$J$37))*$J$147*($J$14)</f>
        <v>0</v>
      </c>
      <c r="K188" s="742">
        <f>+(F188*(1+$H$37)*(1+$I$37)*(1+$J$37)*(1+$K$37))*$K$147*($K$14)</f>
        <v>0</v>
      </c>
      <c r="L188" s="742">
        <f>+(F188*(1+$H$37)*(1+$I$37)*(1+$J$37)*(1+$K$37))*(1+$L$37)*$L$147*($L$14)</f>
        <v>0</v>
      </c>
    </row>
    <row r="189" spans="1:12" ht="17.25" customHeight="1" x14ac:dyDescent="0.2">
      <c r="A189" s="368"/>
      <c r="C189" s="101" t="s">
        <v>21</v>
      </c>
      <c r="D189" s="805">
        <v>0</v>
      </c>
      <c r="E189" s="750"/>
      <c r="F189" s="806"/>
      <c r="G189" s="742">
        <f>+F189*$G$147*($G$14)</f>
        <v>0</v>
      </c>
      <c r="H189" s="742">
        <f>+(F189*(1+$H$37))*$H$147*($H$14)</f>
        <v>0</v>
      </c>
      <c r="I189" s="742">
        <f>+(F189*(1+$H$37)*(1+$I$37))*$I$147*($I$14)</f>
        <v>0</v>
      </c>
      <c r="J189" s="742">
        <f>+(F189*(1+$H$37)*(1+$I$37)*(1+$J$37))*$J$147*($J$14)</f>
        <v>0</v>
      </c>
      <c r="K189" s="742">
        <f>+(F189*(1+$H$37)*(1+$I$37)*(1+$J$37)*(1+$K$37))*$K$147*($K$14)</f>
        <v>0</v>
      </c>
      <c r="L189" s="742">
        <f>+(F189*(1+$H$37)*(1+$I$37)*(1+$J$37)*(1+$K$37))*(1+$L$37)*$L$147*($L$14)</f>
        <v>0</v>
      </c>
    </row>
    <row r="190" spans="1:12" ht="22.5" customHeight="1" x14ac:dyDescent="0.2"/>
    <row r="191" spans="1:12" s="146" customFormat="1" ht="17.25" customHeight="1" x14ac:dyDescent="0.25">
      <c r="A191" s="369"/>
      <c r="C191" s="147" t="s">
        <v>211</v>
      </c>
      <c r="D191" s="148"/>
      <c r="E191" s="149"/>
      <c r="F191" s="149"/>
      <c r="G191" s="149"/>
      <c r="H191" s="149"/>
      <c r="I191" s="149"/>
      <c r="J191" s="149"/>
      <c r="K191" s="149"/>
      <c r="L191" s="150"/>
    </row>
    <row r="192" spans="1:12" ht="6.75" customHeight="1" x14ac:dyDescent="0.2">
      <c r="A192" s="368"/>
    </row>
    <row r="193" spans="1:12" ht="17.25" customHeight="1" x14ac:dyDescent="0.2">
      <c r="A193" s="368"/>
      <c r="C193" s="638" t="s">
        <v>175</v>
      </c>
      <c r="D193" s="764"/>
      <c r="E193" s="750"/>
      <c r="F193" s="639" t="s">
        <v>559</v>
      </c>
      <c r="G193" s="808"/>
      <c r="H193" s="808"/>
      <c r="I193" s="808"/>
      <c r="J193" s="808"/>
      <c r="K193" s="808"/>
      <c r="L193" s="808"/>
    </row>
    <row r="194" spans="1:12" ht="17.25" customHeight="1" x14ac:dyDescent="0.2">
      <c r="A194" s="368"/>
      <c r="C194" s="638" t="s">
        <v>180</v>
      </c>
      <c r="D194" s="750"/>
      <c r="E194" s="750"/>
      <c r="F194" s="807"/>
      <c r="G194" s="745">
        <f t="shared" ref="G194:L194" si="85">+IFERROR($F$194*(G$100+G$92),"")</f>
        <v>0</v>
      </c>
      <c r="H194" s="745">
        <f t="shared" si="85"/>
        <v>0</v>
      </c>
      <c r="I194" s="745">
        <f t="shared" si="85"/>
        <v>0</v>
      </c>
      <c r="J194" s="745">
        <f t="shared" si="85"/>
        <v>0</v>
      </c>
      <c r="K194" s="745">
        <f t="shared" si="85"/>
        <v>0</v>
      </c>
      <c r="L194" s="745">
        <f t="shared" si="85"/>
        <v>0</v>
      </c>
    </row>
    <row r="195" spans="1:12" ht="17.25" customHeight="1" x14ac:dyDescent="0.2">
      <c r="A195" s="368"/>
      <c r="C195" s="638" t="s">
        <v>181</v>
      </c>
      <c r="D195" s="750"/>
      <c r="E195" s="750"/>
      <c r="F195" s="807"/>
      <c r="G195" s="745">
        <f>+IFERROR($F$195*'5. Fundo de Maneio'!E$7,"")</f>
        <v>0</v>
      </c>
      <c r="H195" s="745">
        <f>+IFERROR($F$195*'5. Fundo de Maneio'!F$7,"")</f>
        <v>0</v>
      </c>
      <c r="I195" s="745">
        <f>+IFERROR($F$195*'5. Fundo de Maneio'!G$7,"")</f>
        <v>0</v>
      </c>
      <c r="J195" s="745">
        <f>+IFERROR($F$195*'5. Fundo de Maneio'!H$7,"")</f>
        <v>0</v>
      </c>
      <c r="K195" s="745">
        <f>+IFERROR($F$195*'5. Fundo de Maneio'!I$7,"")</f>
        <v>0</v>
      </c>
      <c r="L195" s="745">
        <f>+IFERROR($F$195*'5. Fundo de Maneio'!J$7,"")</f>
        <v>0</v>
      </c>
    </row>
    <row r="196" spans="1:12" ht="17.25" customHeight="1" x14ac:dyDescent="0.2">
      <c r="A196" s="368"/>
      <c r="C196" s="638" t="s">
        <v>212</v>
      </c>
      <c r="D196" s="750"/>
      <c r="E196" s="750"/>
      <c r="F196" s="807"/>
      <c r="G196" s="745">
        <f t="shared" ref="G196:L196" si="86">+IFERROR($F$196*G$44,"")</f>
        <v>0</v>
      </c>
      <c r="H196" s="745">
        <f t="shared" si="86"/>
        <v>0</v>
      </c>
      <c r="I196" s="745">
        <f t="shared" si="86"/>
        <v>0</v>
      </c>
      <c r="J196" s="745">
        <f t="shared" si="86"/>
        <v>0</v>
      </c>
      <c r="K196" s="745">
        <f t="shared" si="86"/>
        <v>0</v>
      </c>
      <c r="L196" s="745">
        <f t="shared" si="86"/>
        <v>0</v>
      </c>
    </row>
    <row r="197" spans="1:12" ht="17.25" customHeight="1" x14ac:dyDescent="0.2">
      <c r="A197" s="371"/>
      <c r="C197" s="638" t="s">
        <v>84</v>
      </c>
      <c r="D197" s="750"/>
      <c r="E197" s="750"/>
      <c r="F197" s="807"/>
      <c r="G197" s="745">
        <f t="shared" ref="G197:L197" si="87">+IFERROR($F$197*G$44,"")</f>
        <v>0</v>
      </c>
      <c r="H197" s="745">
        <f t="shared" si="87"/>
        <v>0</v>
      </c>
      <c r="I197" s="745">
        <f t="shared" si="87"/>
        <v>0</v>
      </c>
      <c r="J197" s="745">
        <f t="shared" si="87"/>
        <v>0</v>
      </c>
      <c r="K197" s="745">
        <f t="shared" si="87"/>
        <v>0</v>
      </c>
      <c r="L197" s="745">
        <f t="shared" si="87"/>
        <v>0</v>
      </c>
    </row>
    <row r="198" spans="1:12" ht="22.5" customHeight="1" x14ac:dyDescent="0.2"/>
    <row r="199" spans="1:12" s="146" customFormat="1" ht="17.25" customHeight="1" x14ac:dyDescent="0.25">
      <c r="A199" s="145"/>
      <c r="B199" s="369"/>
      <c r="C199" s="147" t="s">
        <v>85</v>
      </c>
      <c r="D199" s="148"/>
      <c r="E199" s="149"/>
      <c r="F199" s="149"/>
      <c r="G199" s="149"/>
      <c r="H199" s="149"/>
      <c r="I199" s="149"/>
      <c r="J199" s="149"/>
      <c r="K199" s="149"/>
      <c r="L199" s="150"/>
    </row>
    <row r="200" spans="1:12" ht="6.75" customHeight="1" x14ac:dyDescent="0.2"/>
    <row r="201" spans="1:12" s="79" customFormat="1" ht="17.25" customHeight="1" x14ac:dyDescent="0.25">
      <c r="A201" s="78"/>
      <c r="B201" s="371"/>
      <c r="C201" s="175" t="s">
        <v>53</v>
      </c>
      <c r="D201" s="194" t="s">
        <v>51</v>
      </c>
      <c r="E201" s="158"/>
      <c r="F201" s="158"/>
      <c r="G201" s="158"/>
      <c r="H201" s="158"/>
      <c r="I201" s="158"/>
      <c r="J201" s="158"/>
      <c r="K201" s="158"/>
    </row>
    <row r="202" spans="1:12" ht="17.25" customHeight="1" x14ac:dyDescent="0.2">
      <c r="C202" s="486" t="s">
        <v>15</v>
      </c>
      <c r="D202" s="809"/>
      <c r="E202" s="348" t="s">
        <v>563</v>
      </c>
    </row>
    <row r="203" spans="1:12" ht="17.25" customHeight="1" x14ac:dyDescent="0.2">
      <c r="C203" s="486" t="s">
        <v>562</v>
      </c>
      <c r="D203" s="809"/>
      <c r="E203" s="348" t="s">
        <v>299</v>
      </c>
    </row>
    <row r="204" spans="1:12" ht="17.25" customHeight="1" x14ac:dyDescent="0.2">
      <c r="C204" s="486" t="s">
        <v>355</v>
      </c>
      <c r="D204" s="809"/>
      <c r="E204" s="348" t="s">
        <v>299</v>
      </c>
    </row>
    <row r="205" spans="1:12" ht="17.25" customHeight="1" x14ac:dyDescent="0.2">
      <c r="C205" s="486" t="s">
        <v>404</v>
      </c>
      <c r="D205" s="809"/>
      <c r="E205" s="348" t="s">
        <v>564</v>
      </c>
    </row>
    <row r="206" spans="1:12" ht="6.75" customHeight="1" x14ac:dyDescent="0.2"/>
    <row r="207" spans="1:12" ht="17.25" customHeight="1" x14ac:dyDescent="0.2">
      <c r="C207" s="173" t="s">
        <v>345</v>
      </c>
      <c r="D207" s="564"/>
      <c r="G207" s="474">
        <f>+'5. Fundo de Maneio'!E25</f>
        <v>-1533.3333333333333</v>
      </c>
      <c r="H207" s="474">
        <f>+'5. Fundo de Maneio'!F25</f>
        <v>-343.46666666666692</v>
      </c>
      <c r="I207" s="474">
        <f>+'5. Fundo de Maneio'!G25</f>
        <v>-420.4032000000002</v>
      </c>
      <c r="J207" s="474">
        <f>+'5. Fundo de Maneio'!H25</f>
        <v>-514.57351680000011</v>
      </c>
      <c r="K207" s="474">
        <f>+'5. Fundo de Maneio'!I25</f>
        <v>-629.83798456319983</v>
      </c>
      <c r="L207" s="474">
        <f>+'5. Fundo de Maneio'!J25</f>
        <v>-770.92169310535655</v>
      </c>
    </row>
    <row r="208" spans="1:12" ht="22.5" customHeight="1" x14ac:dyDescent="0.2"/>
    <row r="209" spans="1:12" s="195" customFormat="1" ht="17.25" customHeight="1" collapsed="1" x14ac:dyDescent="0.25">
      <c r="A209" s="223"/>
      <c r="B209" s="382"/>
      <c r="C209" s="514" t="s">
        <v>344</v>
      </c>
      <c r="D209" s="196"/>
      <c r="E209" s="224"/>
      <c r="F209" s="224"/>
      <c r="G209" s="224"/>
      <c r="H209" s="224"/>
      <c r="I209" s="224"/>
      <c r="J209" s="224"/>
      <c r="K209" s="224"/>
      <c r="L209" s="225"/>
    </row>
    <row r="210" spans="1:12" s="32" customFormat="1" ht="8.25" customHeight="1" x14ac:dyDescent="0.2">
      <c r="B210" s="383"/>
      <c r="E210" s="327">
        <v>1</v>
      </c>
      <c r="F210" s="327">
        <f>+E210+1</f>
        <v>2</v>
      </c>
      <c r="G210" s="327">
        <f t="shared" ref="G210:K210" si="88">+F210+1</f>
        <v>3</v>
      </c>
      <c r="H210" s="327">
        <f t="shared" si="88"/>
        <v>4</v>
      </c>
      <c r="I210" s="327">
        <f t="shared" si="88"/>
        <v>5</v>
      </c>
      <c r="J210" s="327">
        <f t="shared" si="88"/>
        <v>6</v>
      </c>
      <c r="K210" s="327">
        <f t="shared" si="88"/>
        <v>7</v>
      </c>
    </row>
    <row r="211" spans="1:12" ht="17.25" customHeight="1" x14ac:dyDescent="0.2">
      <c r="C211" s="485" t="s">
        <v>349</v>
      </c>
      <c r="D211" s="642"/>
      <c r="E211" s="237"/>
      <c r="F211" s="645"/>
      <c r="G211" s="640">
        <f>+G213+G221</f>
        <v>0</v>
      </c>
      <c r="H211" s="565">
        <f t="shared" ref="H211:K211" si="89">+H213+H221</f>
        <v>0</v>
      </c>
      <c r="I211" s="565">
        <f t="shared" si="89"/>
        <v>0</v>
      </c>
      <c r="J211" s="565">
        <f t="shared" si="89"/>
        <v>0</v>
      </c>
      <c r="K211" s="565">
        <f t="shared" si="89"/>
        <v>0</v>
      </c>
      <c r="L211" s="565">
        <f t="shared" ref="L211" si="90">+L213+L221</f>
        <v>0</v>
      </c>
    </row>
    <row r="212" spans="1:12" ht="17.25" customHeight="1" x14ac:dyDescent="0.2">
      <c r="C212" s="485" t="s">
        <v>35</v>
      </c>
      <c r="D212" s="642"/>
      <c r="E212" s="237"/>
      <c r="F212" s="645"/>
      <c r="G212" s="53">
        <f>+G214*$D$214+G215*$D$215+G216*$D$216+G217*$D$217+G218*$D$218+G219*$D$219+G220*$D$220+G222*$D$222+G223*$D$223+G224*$D$224+D225*$G$225</f>
        <v>0</v>
      </c>
      <c r="H212" s="565">
        <f>+H214*$D$214+H215*$D$215+H216*$D$216+H217*$D$217+H218*$D$218+H219*$D$219+H220*$D$220+H222*$D$222+H223*$D$223+H224*$D$224+D225*H225</f>
        <v>0</v>
      </c>
      <c r="I212" s="565">
        <f>+I214*$D$214+I215*$D$215+I216*$D$216+I217*$D$217+I218*$D$218+I219*$D$219+I220*$D$220+I222*$D$222+I223*$D$223+I224*$D$224+D225*I225</f>
        <v>0</v>
      </c>
      <c r="J212" s="565">
        <f>+J214*$D$214+J215*$D$215+J216*$D$216+J217*$D$217+J218*$D$218+J219*$D$219+J220*$D$220+J222*$D$222+J223*$D$223+J224*$D$224+D225*J225</f>
        <v>0</v>
      </c>
      <c r="K212" s="565">
        <f>+K214*$D$214+K215*$D$215+K216*$D$216+K217*$D$217+K218*$D$218+K219*$D$219+K220*$D$220+K222*$D$222+K223*$D$223+K224*$D$224+D225*K225</f>
        <v>0</v>
      </c>
      <c r="L212" s="565">
        <f>+L214*$D$214+L215*$D$215+L216*$D$216+L217*$D$217+L218*$D$218+L219*$D$219+L220*$D$220+L222*$D$222+L223*$D$223+L224*$D$224+E225*L225</f>
        <v>0</v>
      </c>
    </row>
    <row r="213" spans="1:12" ht="21.75" customHeight="1" x14ac:dyDescent="0.2">
      <c r="B213" s="617"/>
      <c r="C213" s="643" t="s">
        <v>208</v>
      </c>
      <c r="D213" s="636" t="s">
        <v>550</v>
      </c>
      <c r="E213" s="639" t="s">
        <v>572</v>
      </c>
      <c r="F213" s="661" t="s">
        <v>571</v>
      </c>
      <c r="G213" s="641">
        <f>+SUM(G214:G220)</f>
        <v>0</v>
      </c>
      <c r="H213" s="73">
        <f t="shared" ref="H213:K213" si="91">+SUM(H214:H220)</f>
        <v>0</v>
      </c>
      <c r="I213" s="73">
        <f t="shared" si="91"/>
        <v>0</v>
      </c>
      <c r="J213" s="73">
        <f t="shared" si="91"/>
        <v>0</v>
      </c>
      <c r="K213" s="73">
        <f t="shared" si="91"/>
        <v>0</v>
      </c>
      <c r="L213" s="73">
        <f t="shared" ref="L213" si="92">+SUM(L214:L220)</f>
        <v>0</v>
      </c>
    </row>
    <row r="214" spans="1:12" ht="17.25" customHeight="1" x14ac:dyDescent="0.2">
      <c r="C214" s="638" t="s">
        <v>197</v>
      </c>
      <c r="D214" s="810">
        <v>0</v>
      </c>
      <c r="E214" s="811"/>
      <c r="F214" s="765">
        <f t="shared" ref="F214:F220" si="93">+IFERROR(SUM(G214:L214)/E214,0)/12</f>
        <v>0</v>
      </c>
      <c r="G214" s="812"/>
      <c r="H214" s="813"/>
      <c r="I214" s="813"/>
      <c r="J214" s="813"/>
      <c r="K214" s="813"/>
      <c r="L214" s="813"/>
    </row>
    <row r="215" spans="1:12" ht="17.25" customHeight="1" x14ac:dyDescent="0.2">
      <c r="C215" s="638" t="s">
        <v>19</v>
      </c>
      <c r="D215" s="810">
        <v>0</v>
      </c>
      <c r="E215" s="811"/>
      <c r="F215" s="766">
        <f t="shared" si="93"/>
        <v>0</v>
      </c>
      <c r="G215" s="812"/>
      <c r="H215" s="813"/>
      <c r="I215" s="813"/>
      <c r="J215" s="813"/>
      <c r="K215" s="813"/>
      <c r="L215" s="813"/>
    </row>
    <row r="216" spans="1:12" ht="17.25" customHeight="1" x14ac:dyDescent="0.2">
      <c r="C216" s="638" t="s">
        <v>362</v>
      </c>
      <c r="D216" s="810">
        <v>0.23</v>
      </c>
      <c r="E216" s="811"/>
      <c r="F216" s="766">
        <f t="shared" si="93"/>
        <v>0</v>
      </c>
      <c r="G216" s="812"/>
      <c r="H216" s="813"/>
      <c r="I216" s="813"/>
      <c r="J216" s="813"/>
      <c r="K216" s="813"/>
      <c r="L216" s="813"/>
    </row>
    <row r="217" spans="1:12" ht="17.25" customHeight="1" x14ac:dyDescent="0.2">
      <c r="C217" s="638" t="s">
        <v>38</v>
      </c>
      <c r="D217" s="810">
        <v>0.23</v>
      </c>
      <c r="E217" s="811"/>
      <c r="F217" s="766">
        <f t="shared" si="93"/>
        <v>0</v>
      </c>
      <c r="G217" s="812"/>
      <c r="H217" s="813"/>
      <c r="I217" s="813"/>
      <c r="J217" s="813"/>
      <c r="K217" s="813"/>
      <c r="L217" s="813"/>
    </row>
    <row r="218" spans="1:12" ht="17.25" customHeight="1" x14ac:dyDescent="0.2">
      <c r="C218" s="638" t="s">
        <v>40</v>
      </c>
      <c r="D218" s="810">
        <v>0.23</v>
      </c>
      <c r="E218" s="811"/>
      <c r="F218" s="766">
        <f t="shared" si="93"/>
        <v>0</v>
      </c>
      <c r="G218" s="812"/>
      <c r="H218" s="813"/>
      <c r="I218" s="813"/>
      <c r="J218" s="813"/>
      <c r="K218" s="813"/>
      <c r="L218" s="813"/>
    </row>
    <row r="219" spans="1:12" ht="17.25" customHeight="1" x14ac:dyDescent="0.2">
      <c r="C219" s="638" t="s">
        <v>39</v>
      </c>
      <c r="D219" s="810">
        <v>0.23</v>
      </c>
      <c r="E219" s="811"/>
      <c r="F219" s="766">
        <f t="shared" si="93"/>
        <v>0</v>
      </c>
      <c r="G219" s="812"/>
      <c r="H219" s="813"/>
      <c r="I219" s="813"/>
      <c r="J219" s="813"/>
      <c r="K219" s="813"/>
      <c r="L219" s="813"/>
    </row>
    <row r="220" spans="1:12" ht="17.25" customHeight="1" x14ac:dyDescent="0.2">
      <c r="C220" s="638" t="s">
        <v>561</v>
      </c>
      <c r="D220" s="810">
        <v>0.23</v>
      </c>
      <c r="E220" s="811"/>
      <c r="F220" s="766">
        <f t="shared" si="93"/>
        <v>0</v>
      </c>
      <c r="G220" s="812"/>
      <c r="H220" s="813"/>
      <c r="I220" s="813"/>
      <c r="J220" s="813"/>
      <c r="K220" s="813"/>
      <c r="L220" s="813"/>
    </row>
    <row r="221" spans="1:12" ht="17.25" customHeight="1" x14ac:dyDescent="0.2">
      <c r="B221" s="618"/>
      <c r="C221" s="643" t="s">
        <v>129</v>
      </c>
      <c r="D221" s="644"/>
      <c r="E221" s="644"/>
      <c r="F221" s="644"/>
      <c r="G221" s="641">
        <f>+SUM(G222:G225)</f>
        <v>0</v>
      </c>
      <c r="H221" s="641">
        <f t="shared" ref="H221:L221" si="94">+SUM(H222:H225)</f>
        <v>0</v>
      </c>
      <c r="I221" s="641">
        <f t="shared" si="94"/>
        <v>0</v>
      </c>
      <c r="J221" s="641">
        <f t="shared" si="94"/>
        <v>0</v>
      </c>
      <c r="K221" s="641">
        <f t="shared" si="94"/>
        <v>0</v>
      </c>
      <c r="L221" s="641">
        <f t="shared" si="94"/>
        <v>0</v>
      </c>
    </row>
    <row r="222" spans="1:12" ht="17.25" customHeight="1" x14ac:dyDescent="0.2">
      <c r="C222" s="638" t="s">
        <v>41</v>
      </c>
      <c r="D222" s="810">
        <v>0.23</v>
      </c>
      <c r="E222" s="811"/>
      <c r="F222" s="744">
        <f>+IFERROR(SUM(G222:L222)/E222,0)/12</f>
        <v>0</v>
      </c>
      <c r="G222" s="812"/>
      <c r="H222" s="813"/>
      <c r="I222" s="813"/>
      <c r="J222" s="813"/>
      <c r="K222" s="813"/>
      <c r="L222" s="813"/>
    </row>
    <row r="223" spans="1:12" ht="17.25" customHeight="1" x14ac:dyDescent="0.2">
      <c r="C223" s="638" t="s">
        <v>125</v>
      </c>
      <c r="D223" s="810">
        <v>0.23</v>
      </c>
      <c r="E223" s="811"/>
      <c r="F223" s="744">
        <f>+IFERROR(SUM(G223:L223)/E223,0)/12</f>
        <v>0</v>
      </c>
      <c r="G223" s="812"/>
      <c r="H223" s="813"/>
      <c r="I223" s="813"/>
      <c r="J223" s="813"/>
      <c r="K223" s="813"/>
      <c r="L223" s="813"/>
    </row>
    <row r="224" spans="1:12" ht="17.25" customHeight="1" x14ac:dyDescent="0.2">
      <c r="C224" s="638" t="s">
        <v>124</v>
      </c>
      <c r="D224" s="810">
        <v>0.23</v>
      </c>
      <c r="E224" s="811"/>
      <c r="F224" s="744">
        <f>+IFERROR(SUM(G224:L224)/E224,0)/12</f>
        <v>0</v>
      </c>
      <c r="G224" s="812"/>
      <c r="H224" s="813"/>
      <c r="I224" s="813"/>
      <c r="J224" s="813"/>
      <c r="K224" s="813"/>
      <c r="L224" s="813"/>
    </row>
    <row r="225" spans="1:12" s="242" customFormat="1" ht="17.25" customHeight="1" x14ac:dyDescent="0.2">
      <c r="A225" s="56"/>
      <c r="B225" s="384"/>
      <c r="C225" s="284" t="s">
        <v>560</v>
      </c>
      <c r="D225" s="782">
        <v>0.23</v>
      </c>
      <c r="E225" s="814"/>
      <c r="F225" s="744">
        <f>+IFERROR(SUM(G225:L225)/E225,0)/12</f>
        <v>0</v>
      </c>
      <c r="G225" s="815"/>
      <c r="H225" s="815"/>
      <c r="I225" s="815"/>
      <c r="J225" s="815"/>
      <c r="K225" s="815"/>
      <c r="L225" s="815"/>
    </row>
    <row r="226" spans="1:12" ht="22.5" customHeight="1" x14ac:dyDescent="0.2">
      <c r="H226" s="664"/>
    </row>
    <row r="227" spans="1:12" s="146" customFormat="1" ht="17.25" customHeight="1" x14ac:dyDescent="0.25">
      <c r="A227" s="145"/>
      <c r="B227" s="368"/>
      <c r="C227" s="487" t="s">
        <v>405</v>
      </c>
      <c r="D227" s="148"/>
      <c r="E227" s="149"/>
      <c r="F227" s="149"/>
      <c r="G227" s="149"/>
      <c r="H227" s="149"/>
      <c r="I227" s="149"/>
      <c r="J227" s="149"/>
      <c r="K227" s="149"/>
      <c r="L227" s="150"/>
    </row>
    <row r="228" spans="1:12" ht="6.75" customHeight="1" x14ac:dyDescent="0.2"/>
    <row r="229" spans="1:12" ht="17.25" customHeight="1" x14ac:dyDescent="0.2">
      <c r="C229" s="173" t="s">
        <v>346</v>
      </c>
      <c r="D229" s="646"/>
      <c r="E229" s="647"/>
      <c r="F229" s="648"/>
      <c r="G229" s="474">
        <f>+G211+G207</f>
        <v>-1533.3333333333333</v>
      </c>
      <c r="H229" s="474">
        <f t="shared" ref="H229:K229" si="95">+H211+H207</f>
        <v>-343.46666666666692</v>
      </c>
      <c r="I229" s="474">
        <f t="shared" si="95"/>
        <v>-420.4032000000002</v>
      </c>
      <c r="J229" s="474">
        <f t="shared" si="95"/>
        <v>-514.57351680000011</v>
      </c>
      <c r="K229" s="474">
        <f t="shared" si="95"/>
        <v>-629.83798456319983</v>
      </c>
      <c r="L229" s="474">
        <f t="shared" ref="L229" si="96">+L211+L207</f>
        <v>-770.92169310535655</v>
      </c>
    </row>
    <row r="230" spans="1:12" s="242" customFormat="1" ht="17.25" customHeight="1" x14ac:dyDescent="0.2">
      <c r="A230" s="56"/>
      <c r="B230" s="368"/>
      <c r="C230" s="650" t="s">
        <v>345</v>
      </c>
      <c r="D230" s="647"/>
      <c r="E230" s="647"/>
      <c r="F230" s="648"/>
      <c r="G230" s="649">
        <f>+G207</f>
        <v>-1533.3333333333333</v>
      </c>
      <c r="H230" s="649">
        <f t="shared" ref="H230:K230" si="97">+H207</f>
        <v>-343.46666666666692</v>
      </c>
      <c r="I230" s="649">
        <f t="shared" si="97"/>
        <v>-420.4032000000002</v>
      </c>
      <c r="J230" s="649">
        <f t="shared" si="97"/>
        <v>-514.57351680000011</v>
      </c>
      <c r="K230" s="649">
        <f t="shared" si="97"/>
        <v>-629.83798456319983</v>
      </c>
      <c r="L230" s="649">
        <f t="shared" ref="L230" si="98">+L207</f>
        <v>-770.92169310535655</v>
      </c>
    </row>
    <row r="231" spans="1:12" s="242" customFormat="1" ht="17.25" customHeight="1" x14ac:dyDescent="0.2">
      <c r="A231" s="56"/>
      <c r="B231" s="368"/>
      <c r="C231" s="507" t="s">
        <v>349</v>
      </c>
      <c r="D231" s="647"/>
      <c r="E231" s="647"/>
      <c r="F231" s="648"/>
      <c r="G231" s="649">
        <f>+G211</f>
        <v>0</v>
      </c>
      <c r="H231" s="649">
        <f t="shared" ref="H231:K231" si="99">+H211</f>
        <v>0</v>
      </c>
      <c r="I231" s="649">
        <f t="shared" si="99"/>
        <v>0</v>
      </c>
      <c r="J231" s="649">
        <f t="shared" si="99"/>
        <v>0</v>
      </c>
      <c r="K231" s="649">
        <f t="shared" si="99"/>
        <v>0</v>
      </c>
      <c r="L231" s="649">
        <f t="shared" ref="L231" si="100">+L211</f>
        <v>0</v>
      </c>
    </row>
    <row r="232" spans="1:12" ht="22.5" customHeight="1" x14ac:dyDescent="0.2"/>
    <row r="233" spans="1:12" s="195" customFormat="1" ht="17.25" customHeight="1" x14ac:dyDescent="0.25">
      <c r="A233" s="223"/>
      <c r="B233" s="382"/>
      <c r="C233" s="514" t="s">
        <v>448</v>
      </c>
      <c r="D233" s="196"/>
      <c r="E233" s="224"/>
      <c r="F233" s="224"/>
      <c r="G233" s="224"/>
      <c r="H233" s="224"/>
      <c r="I233" s="224"/>
      <c r="J233" s="224"/>
      <c r="K233" s="224"/>
      <c r="L233" s="150"/>
    </row>
    <row r="234" spans="1:12" s="35" customFormat="1" ht="6.75" customHeight="1" x14ac:dyDescent="0.2">
      <c r="A234" s="34"/>
      <c r="B234" s="368"/>
      <c r="C234" s="5"/>
      <c r="D234" s="5"/>
    </row>
    <row r="235" spans="1:12" s="35" customFormat="1" ht="17.25" customHeight="1" x14ac:dyDescent="0.2">
      <c r="A235" s="34"/>
      <c r="B235" s="368"/>
      <c r="C235" s="45" t="s">
        <v>578</v>
      </c>
      <c r="D235" s="5"/>
      <c r="E235" s="816"/>
      <c r="F235" s="227" t="s">
        <v>580</v>
      </c>
    </row>
    <row r="236" spans="1:12" s="35" customFormat="1" ht="17.25" customHeight="1" x14ac:dyDescent="0.2">
      <c r="A236" s="34"/>
      <c r="B236" s="368"/>
      <c r="C236" s="45" t="s">
        <v>579</v>
      </c>
      <c r="D236" s="5"/>
      <c r="E236" s="779"/>
      <c r="F236" s="227" t="s">
        <v>350</v>
      </c>
    </row>
    <row r="237" spans="1:12" s="35" customFormat="1" ht="17.25" customHeight="1" x14ac:dyDescent="0.2">
      <c r="A237" s="34"/>
      <c r="B237" s="368"/>
      <c r="C237" s="45" t="s">
        <v>407</v>
      </c>
      <c r="D237" s="5"/>
      <c r="G237" s="626">
        <v>0</v>
      </c>
      <c r="H237" s="626">
        <f ca="1">+IF('8. Mapa de tesouraria'!E58&lt;=Pressupostos!$E$235,0,('8. Mapa de tesouraria'!E58-Pressupostos!$E$235)*Pressupostos!$E$236)</f>
        <v>0</v>
      </c>
      <c r="I237" s="626">
        <f ca="1">+IF('8. Mapa de tesouraria'!F58&lt;=Pressupostos!$E$235,0,('8. Mapa de tesouraria'!F58-Pressupostos!$E$235)*Pressupostos!$E$236)</f>
        <v>0</v>
      </c>
      <c r="J237" s="626">
        <f ca="1">+IF('8. Mapa de tesouraria'!G58&lt;=Pressupostos!$E$235,0,('8. Mapa de tesouraria'!G58-Pressupostos!$E$235)*Pressupostos!$E$236)</f>
        <v>0</v>
      </c>
      <c r="K237" s="626">
        <f ca="1">+IF('8. Mapa de tesouraria'!H58&lt;=Pressupostos!$E$235,0,('8. Mapa de tesouraria'!H58-Pressupostos!$E$235)*Pressupostos!$E$236)</f>
        <v>0</v>
      </c>
      <c r="L237" s="626">
        <f ca="1">+IF('8. Mapa de tesouraria'!I58&lt;=Pressupostos!$E$235,0,('8. Mapa de tesouraria'!I58-Pressupostos!$E$235)*Pressupostos!$E$236)</f>
        <v>0</v>
      </c>
    </row>
    <row r="238" spans="1:12" ht="6.75" customHeight="1" x14ac:dyDescent="0.2"/>
    <row r="239" spans="1:12" s="35" customFormat="1" ht="17.25" customHeight="1" x14ac:dyDescent="0.2">
      <c r="A239" s="34"/>
      <c r="B239" s="368"/>
      <c r="C239" s="45" t="s">
        <v>502</v>
      </c>
      <c r="D239" s="5"/>
      <c r="E239" s="816"/>
      <c r="F239" s="227" t="s">
        <v>581</v>
      </c>
    </row>
    <row r="240" spans="1:12" s="35" customFormat="1" ht="17.25" customHeight="1" x14ac:dyDescent="0.2">
      <c r="A240" s="34"/>
      <c r="B240" s="368"/>
      <c r="C240" s="45" t="s">
        <v>781</v>
      </c>
      <c r="D240" s="5"/>
      <c r="E240" s="816"/>
      <c r="F240" s="227" t="s">
        <v>581</v>
      </c>
    </row>
    <row r="241" spans="1:13" s="35" customFormat="1" ht="17.25" customHeight="1" x14ac:dyDescent="0.2">
      <c r="A241" s="34"/>
      <c r="B241" s="368"/>
      <c r="C241" s="45" t="s">
        <v>582</v>
      </c>
      <c r="D241" s="5"/>
      <c r="E241" s="779"/>
      <c r="F241" s="227" t="s">
        <v>583</v>
      </c>
    </row>
    <row r="242" spans="1:13" ht="22.5" customHeight="1" x14ac:dyDescent="0.2"/>
    <row r="243" spans="1:13" s="146" customFormat="1" ht="17.25" customHeight="1" x14ac:dyDescent="0.25">
      <c r="A243" s="145"/>
      <c r="B243" s="368"/>
      <c r="C243" s="147" t="s">
        <v>519</v>
      </c>
      <c r="D243" s="148"/>
      <c r="E243" s="149"/>
      <c r="F243" s="149"/>
      <c r="G243" s="149"/>
      <c r="H243" s="149"/>
      <c r="I243" s="149"/>
      <c r="J243" s="149"/>
      <c r="K243" s="149"/>
      <c r="L243" s="150"/>
    </row>
    <row r="244" spans="1:13" ht="6.75" customHeight="1" x14ac:dyDescent="0.2"/>
    <row r="245" spans="1:13" s="79" customFormat="1" ht="17.25" customHeight="1" x14ac:dyDescent="0.25">
      <c r="A245" s="78"/>
      <c r="B245" s="371"/>
      <c r="C245" s="178" t="s">
        <v>406</v>
      </c>
      <c r="D245" s="194" t="s">
        <v>539</v>
      </c>
      <c r="E245" s="158"/>
      <c r="F245" s="158"/>
      <c r="G245" s="158"/>
      <c r="H245" s="158"/>
      <c r="I245" s="158"/>
      <c r="J245" s="158"/>
      <c r="K245" s="158"/>
    </row>
    <row r="246" spans="1:13" ht="17.25" customHeight="1" x14ac:dyDescent="0.2">
      <c r="C246" s="45" t="s">
        <v>4</v>
      </c>
      <c r="D246" s="817"/>
      <c r="E246" s="348" t="s">
        <v>332</v>
      </c>
      <c r="G246" s="5"/>
      <c r="H246" s="5"/>
      <c r="I246" s="5"/>
      <c r="J246" s="5"/>
      <c r="K246" s="5"/>
    </row>
    <row r="247" spans="1:13" ht="17.25" customHeight="1" x14ac:dyDescent="0.2">
      <c r="C247" s="45" t="s">
        <v>358</v>
      </c>
      <c r="D247" s="834">
        <f>100%-D246</f>
        <v>1</v>
      </c>
      <c r="E247" s="190"/>
      <c r="F247" s="385"/>
    </row>
    <row r="248" spans="1:13" ht="6.75" customHeight="1" x14ac:dyDescent="0.2"/>
    <row r="249" spans="1:13" ht="17.25" customHeight="1" x14ac:dyDescent="0.2">
      <c r="C249" s="45" t="s">
        <v>671</v>
      </c>
      <c r="D249" s="768"/>
      <c r="E249" s="769"/>
      <c r="F249" s="767"/>
      <c r="G249" s="731" t="str">
        <f t="shared" ref="G249:L249" si="101">IF(AND(G231&gt;0,G229&gt;0),+$D$246*G229,"")</f>
        <v/>
      </c>
      <c r="H249" s="731" t="str">
        <f t="shared" si="101"/>
        <v/>
      </c>
      <c r="I249" s="731" t="str">
        <f t="shared" si="101"/>
        <v/>
      </c>
      <c r="J249" s="731" t="str">
        <f t="shared" si="101"/>
        <v/>
      </c>
      <c r="K249" s="731" t="str">
        <f t="shared" si="101"/>
        <v/>
      </c>
      <c r="L249" s="731" t="str">
        <f t="shared" si="101"/>
        <v/>
      </c>
    </row>
    <row r="250" spans="1:13" ht="6.75" customHeight="1" x14ac:dyDescent="0.2"/>
    <row r="251" spans="1:13" s="79" customFormat="1" ht="17.25" customHeight="1" x14ac:dyDescent="0.2">
      <c r="A251" s="78"/>
      <c r="B251" s="371"/>
      <c r="C251" s="489" t="s">
        <v>584</v>
      </c>
      <c r="D251" s="237"/>
      <c r="E251" s="237"/>
      <c r="F251" s="237"/>
      <c r="G251" s="656"/>
      <c r="H251" s="656"/>
      <c r="I251" s="656"/>
      <c r="J251" s="656"/>
      <c r="K251" s="656"/>
      <c r="L251" s="657"/>
    </row>
    <row r="252" spans="1:13" s="242" customFormat="1" ht="17.25" customHeight="1" x14ac:dyDescent="0.2">
      <c r="A252" s="56"/>
      <c r="B252" s="384"/>
      <c r="C252" s="322" t="s">
        <v>611</v>
      </c>
      <c r="D252" s="771"/>
      <c r="E252" s="771"/>
      <c r="F252" s="818"/>
      <c r="G252" s="821"/>
      <c r="H252" s="821"/>
      <c r="I252" s="821"/>
      <c r="J252" s="821"/>
      <c r="K252" s="821"/>
      <c r="L252" s="821"/>
    </row>
    <row r="253" spans="1:13" s="242" customFormat="1" ht="17.25" customHeight="1" x14ac:dyDescent="0.2">
      <c r="A253" s="56"/>
      <c r="B253" s="384"/>
      <c r="C253" s="658" t="s">
        <v>612</v>
      </c>
      <c r="D253" s="819"/>
      <c r="E253" s="771"/>
      <c r="F253" s="818"/>
      <c r="G253" s="659">
        <f>+IFERROR(G252*$D$18,"0")</f>
        <v>0</v>
      </c>
      <c r="H253" s="659">
        <f t="shared" ref="H253:K253" si="102">+IFERROR(H252*$D$18,"0")</f>
        <v>0</v>
      </c>
      <c r="I253" s="659">
        <f t="shared" si="102"/>
        <v>0</v>
      </c>
      <c r="J253" s="659">
        <f t="shared" si="102"/>
        <v>0</v>
      </c>
      <c r="K253" s="659">
        <f t="shared" si="102"/>
        <v>0</v>
      </c>
      <c r="L253" s="659">
        <f t="shared" ref="L253" si="103">+IFERROR(L252*$D$18,"0")</f>
        <v>0</v>
      </c>
    </row>
    <row r="254" spans="1:13" s="242" customFormat="1" ht="17.25" customHeight="1" x14ac:dyDescent="0.2">
      <c r="A254" s="56"/>
      <c r="B254" s="384"/>
      <c r="C254" s="322" t="s">
        <v>609</v>
      </c>
      <c r="D254" s="798">
        <v>5</v>
      </c>
      <c r="E254" s="771"/>
      <c r="F254" s="818"/>
      <c r="G254" s="745">
        <f>+G252/$D$254</f>
        <v>0</v>
      </c>
      <c r="H254" s="745">
        <f t="shared" ref="H254:K254" si="104">+H252/$D$254</f>
        <v>0</v>
      </c>
      <c r="I254" s="745">
        <f t="shared" si="104"/>
        <v>0</v>
      </c>
      <c r="J254" s="745">
        <f t="shared" si="104"/>
        <v>0</v>
      </c>
      <c r="K254" s="745">
        <f t="shared" si="104"/>
        <v>0</v>
      </c>
      <c r="L254" s="745">
        <f t="shared" ref="L254" si="105">+L252/$D$254</f>
        <v>0</v>
      </c>
      <c r="M254" s="746" t="s">
        <v>682</v>
      </c>
    </row>
    <row r="255" spans="1:13" s="242" customFormat="1" ht="17.25" customHeight="1" x14ac:dyDescent="0.2">
      <c r="A255" s="56"/>
      <c r="B255" s="384"/>
      <c r="C255" s="322" t="s">
        <v>568</v>
      </c>
      <c r="D255" s="820"/>
      <c r="E255" s="771"/>
      <c r="F255" s="818"/>
      <c r="G255" s="673">
        <f>IF(G252&lt;&gt;"0",IF(G4&lt;G$4+$D$254,G254,"0"))</f>
        <v>0</v>
      </c>
      <c r="H255" s="673">
        <f>IF(H252&lt;&gt;"0",IF(H4&lt;H$4+$D$254,H254,"0"))+IF(G252&lt;&gt;"0",IF(H4&lt;G$4+$D$254,G254,"0"))</f>
        <v>0</v>
      </c>
      <c r="I255" s="673">
        <f>IF(I252&lt;&gt;"0",IF(I4&lt;I$4+$D$254,I254,"0"))+IF(H252&lt;&gt;"0",IF(I4&lt;H$4+$D$254,H254,"0"))+IF(G252&lt;&gt;"0",IF(I4&lt;G$4+$D$254,G254,"0"))</f>
        <v>0</v>
      </c>
      <c r="J255" s="673">
        <f>IF(J252&lt;&gt;"0",IF(J4&lt;J$4+$D$254,J254,"0"))+IF(I252&lt;&gt;"0",IF(J4&lt;I$4+$D$254,I254,"0"))+IF(H252&lt;&gt;"0",IF(J4&lt;H$4+$D$254,H254,"0"))+IF(G252&lt;&gt;"0",IF(J4&lt;G$4+$D$254,G254,"0"))</f>
        <v>0</v>
      </c>
      <c r="K255" s="673">
        <f>IF(K252&lt;&gt;"0",IF(K4&lt;K$4+$D$254,K254,"0"))+IF(J252&lt;&gt;"0",IF(K4&lt;J$4+$D$254,J254,"0"))+IF(I252&lt;&gt;"0",IF(K4&lt;I$4+$D$254,I254,"0"))+IF(H252&lt;&gt;"0",IF(K4&lt;H$4+$D$254,H254,"0"))+IF(G252&lt;&gt;"0",IF(K4&lt;G$4+$D$254,G254,"0"))</f>
        <v>0</v>
      </c>
      <c r="L255" s="673">
        <f>IF(L252&lt;&gt;"0",IF(L4&lt;L$4+$D$254,L254,"0"))+IF(K252&lt;&gt;"0",IF(L4&lt;K$4+$D$254,K254,"0"))+IF(J252&lt;&gt;"0",IF(L4&lt;J$4+$D$254,J254,"0"))+IF(I252&lt;&gt;"0",IF(L4&lt;I$4+$D$254,I254,"0"))+IF(H252&lt;&gt;"0",IF(L4&lt;H$4+$D$254,H254,"0"))</f>
        <v>0</v>
      </c>
    </row>
    <row r="256" spans="1:13" s="242" customFormat="1" ht="17.25" customHeight="1" x14ac:dyDescent="0.2">
      <c r="A256" s="56"/>
      <c r="B256" s="384"/>
      <c r="C256" s="658" t="s">
        <v>570</v>
      </c>
      <c r="D256" s="820"/>
      <c r="E256" s="771"/>
      <c r="F256" s="818"/>
      <c r="G256" s="659">
        <f>+G255*$D$18</f>
        <v>0</v>
      </c>
      <c r="H256" s="659">
        <f t="shared" ref="H256:K256" si="106">+H255*$D$18</f>
        <v>0</v>
      </c>
      <c r="I256" s="659">
        <f t="shared" si="106"/>
        <v>0</v>
      </c>
      <c r="J256" s="659">
        <f t="shared" si="106"/>
        <v>0</v>
      </c>
      <c r="K256" s="659">
        <f t="shared" si="106"/>
        <v>0</v>
      </c>
      <c r="L256" s="659">
        <f t="shared" ref="L256" si="107">+L255*$D$18</f>
        <v>0</v>
      </c>
    </row>
    <row r="257" spans="1:16" ht="6.75" customHeight="1" x14ac:dyDescent="0.2">
      <c r="F257" s="674"/>
      <c r="G257" s="68"/>
      <c r="H257" s="68"/>
      <c r="I257" s="68"/>
      <c r="J257" s="68"/>
      <c r="K257" s="68"/>
      <c r="L257" s="68"/>
      <c r="M257" s="242"/>
      <c r="N257" s="242"/>
      <c r="O257" s="242"/>
      <c r="P257" s="242"/>
    </row>
    <row r="258" spans="1:16" s="146" customFormat="1" ht="17.25" customHeight="1" x14ac:dyDescent="0.25">
      <c r="A258" s="145"/>
      <c r="B258" s="368"/>
      <c r="C258" s="147" t="s">
        <v>520</v>
      </c>
      <c r="D258" s="148"/>
      <c r="E258" s="149"/>
      <c r="F258" s="149"/>
      <c r="G258" s="149"/>
      <c r="H258" s="149"/>
      <c r="I258" s="149"/>
      <c r="J258" s="149"/>
      <c r="K258" s="149"/>
      <c r="L258" s="150"/>
    </row>
    <row r="259" spans="1:16" ht="6.75" customHeight="1" x14ac:dyDescent="0.2"/>
    <row r="260" spans="1:16" s="79" customFormat="1" ht="17.25" customHeight="1" x14ac:dyDescent="0.2">
      <c r="A260" s="78"/>
      <c r="B260" s="371"/>
      <c r="C260" s="489" t="s">
        <v>4</v>
      </c>
      <c r="D260" s="653"/>
      <c r="E260" s="307"/>
      <c r="F260" s="662"/>
      <c r="G260" s="668">
        <f>+G261+G262+G263+G265+G266</f>
        <v>0</v>
      </c>
      <c r="H260" s="668">
        <f t="shared" ref="H260:L260" si="108">+H261+H262+H263+H265+H266</f>
        <v>0</v>
      </c>
      <c r="I260" s="668">
        <f t="shared" si="108"/>
        <v>0</v>
      </c>
      <c r="J260" s="668">
        <f t="shared" si="108"/>
        <v>0</v>
      </c>
      <c r="K260" s="668">
        <f t="shared" si="108"/>
        <v>0</v>
      </c>
      <c r="L260" s="668">
        <f t="shared" si="108"/>
        <v>0</v>
      </c>
    </row>
    <row r="261" spans="1:16" s="242" customFormat="1" ht="17.25" customHeight="1" x14ac:dyDescent="0.2">
      <c r="A261" s="56"/>
      <c r="B261" s="384"/>
      <c r="C261" s="322" t="s">
        <v>232</v>
      </c>
      <c r="D261" s="770"/>
      <c r="E261" s="771"/>
      <c r="F261" s="772"/>
      <c r="G261" s="816"/>
      <c r="H261" s="822"/>
      <c r="I261" s="822"/>
      <c r="J261" s="822"/>
      <c r="K261" s="822"/>
      <c r="L261" s="822"/>
    </row>
    <row r="262" spans="1:16" s="242" customFormat="1" ht="17.25" customHeight="1" x14ac:dyDescent="0.2">
      <c r="A262" s="56"/>
      <c r="B262" s="384"/>
      <c r="C262" s="322" t="s">
        <v>585</v>
      </c>
      <c r="D262" s="770"/>
      <c r="E262" s="771"/>
      <c r="F262" s="772"/>
      <c r="G262" s="773">
        <f>+G252-G253</f>
        <v>0</v>
      </c>
      <c r="H262" s="773">
        <f t="shared" ref="H262:L262" si="109">+H252-H253</f>
        <v>0</v>
      </c>
      <c r="I262" s="773">
        <f t="shared" si="109"/>
        <v>0</v>
      </c>
      <c r="J262" s="773">
        <f t="shared" si="109"/>
        <v>0</v>
      </c>
      <c r="K262" s="773">
        <f t="shared" si="109"/>
        <v>0</v>
      </c>
      <c r="L262" s="773">
        <f t="shared" si="109"/>
        <v>0</v>
      </c>
    </row>
    <row r="263" spans="1:16" s="242" customFormat="1" ht="17.25" customHeight="1" x14ac:dyDescent="0.2">
      <c r="A263" s="56"/>
      <c r="B263" s="384"/>
      <c r="C263" s="322" t="s">
        <v>240</v>
      </c>
      <c r="D263" s="770"/>
      <c r="E263" s="771"/>
      <c r="F263" s="772"/>
      <c r="G263" s="626">
        <f>+IF(G229*$D$246-G261-G262&lt;0,"0",G229*$D$246-G261-G262)</f>
        <v>0</v>
      </c>
      <c r="H263" s="626">
        <f t="shared" ref="H263:L263" si="110">+IF(H229*$D$246-H261-H262&lt;0,"0",H229*$D$246-H261-H262)</f>
        <v>0</v>
      </c>
      <c r="I263" s="626">
        <f t="shared" si="110"/>
        <v>0</v>
      </c>
      <c r="J263" s="626">
        <f t="shared" si="110"/>
        <v>0</v>
      </c>
      <c r="K263" s="626">
        <f t="shared" si="110"/>
        <v>0</v>
      </c>
      <c r="L263" s="626">
        <f t="shared" si="110"/>
        <v>0</v>
      </c>
    </row>
    <row r="264" spans="1:16" s="242" customFormat="1" ht="17.25" customHeight="1" x14ac:dyDescent="0.2">
      <c r="A264" s="56"/>
      <c r="B264" s="384"/>
      <c r="C264" s="643" t="s">
        <v>586</v>
      </c>
      <c r="D264" s="663" t="s">
        <v>574</v>
      </c>
      <c r="E264" s="655"/>
      <c r="F264" s="727"/>
      <c r="G264" s="730" t="str">
        <f ca="1">IF('2. Balanço'!E30&lt;0.5*'2. Balanço'!E31,0.5*'2. Balanço'!E31-'2. Balanço'!E30,"")</f>
        <v/>
      </c>
      <c r="H264" s="730" t="str">
        <f ca="1">IF('2. Balanço'!F30&lt;0.5*'2. Balanço'!F31,0.5*'2. Balanço'!F31-'2. Balanço'!F30,"")</f>
        <v/>
      </c>
      <c r="I264" s="730" t="str">
        <f ca="1">IF('2. Balanço'!G30&lt;0.5*'2. Balanço'!G31,0.5*'2. Balanço'!G31-'2. Balanço'!G30,"")</f>
        <v/>
      </c>
      <c r="J264" s="730" t="str">
        <f ca="1">IF('2. Balanço'!H30&lt;0.5*'2. Balanço'!H31,0.5*'2. Balanço'!H31-'2. Balanço'!H30,"")</f>
        <v/>
      </c>
      <c r="K264" s="730" t="str">
        <f ca="1">IF('2. Balanço'!I30&lt;0.5*'2. Balanço'!I31,0.5*'2. Balanço'!I31-'2. Balanço'!I30,"")</f>
        <v/>
      </c>
      <c r="L264" s="730" t="str">
        <f ca="1">IF('2. Balanço'!J30&lt;0.5*'2. Balanço'!J31,0.5*'2. Balanço'!J31-'2. Balanço'!J30,"")</f>
        <v/>
      </c>
      <c r="M264" s="259" t="s">
        <v>673</v>
      </c>
    </row>
    <row r="265" spans="1:16" s="242" customFormat="1" ht="34.5" customHeight="1" x14ac:dyDescent="0.2">
      <c r="A265" s="56"/>
      <c r="B265" s="384"/>
      <c r="C265" s="322" t="s">
        <v>232</v>
      </c>
      <c r="D265" s="937" t="s">
        <v>587</v>
      </c>
      <c r="E265" s="937"/>
      <c r="F265" s="938"/>
      <c r="G265" s="816"/>
      <c r="H265" s="816"/>
      <c r="I265" s="816"/>
      <c r="J265" s="816"/>
      <c r="K265" s="816"/>
      <c r="L265" s="816"/>
    </row>
    <row r="266" spans="1:16" s="242" customFormat="1" ht="30.75" customHeight="1" x14ac:dyDescent="0.2">
      <c r="A266" s="56"/>
      <c r="B266" s="384"/>
      <c r="C266" s="322" t="s">
        <v>240</v>
      </c>
      <c r="D266" s="939"/>
      <c r="E266" s="939"/>
      <c r="F266" s="940"/>
      <c r="G266" s="816"/>
      <c r="H266" s="816"/>
      <c r="I266" s="816"/>
      <c r="J266" s="816"/>
      <c r="K266" s="816"/>
      <c r="L266" s="816"/>
    </row>
    <row r="267" spans="1:16" ht="6.75" customHeight="1" x14ac:dyDescent="0.2">
      <c r="L267" s="35"/>
    </row>
    <row r="268" spans="1:16" ht="17.25" customHeight="1" x14ac:dyDescent="0.2">
      <c r="C268" s="489" t="s">
        <v>52</v>
      </c>
      <c r="D268" s="651"/>
      <c r="E268" s="651"/>
      <c r="F268" s="651"/>
      <c r="G268" s="651"/>
      <c r="H268" s="651"/>
      <c r="I268" s="651"/>
      <c r="J268" s="651"/>
      <c r="K268" s="651"/>
      <c r="L268" s="652"/>
    </row>
    <row r="269" spans="1:16" ht="17.25" customHeight="1" x14ac:dyDescent="0.2">
      <c r="C269" s="635" t="s">
        <v>18</v>
      </c>
      <c r="D269" s="771"/>
      <c r="E269" s="750"/>
      <c r="F269" s="751"/>
      <c r="G269" s="823"/>
      <c r="H269" s="823"/>
      <c r="I269" s="823"/>
      <c r="J269" s="823"/>
      <c r="K269" s="823"/>
      <c r="L269" s="823"/>
      <c r="M269" s="35"/>
      <c r="N269" s="35"/>
      <c r="O269" s="357"/>
      <c r="P269" s="357"/>
    </row>
    <row r="270" spans="1:16" ht="17.25" customHeight="1" x14ac:dyDescent="0.2">
      <c r="C270" s="635" t="s">
        <v>148</v>
      </c>
      <c r="D270" s="771"/>
      <c r="E270" s="750"/>
      <c r="F270" s="751"/>
      <c r="G270" s="823"/>
      <c r="H270" s="823"/>
      <c r="I270" s="823"/>
      <c r="J270" s="823"/>
      <c r="K270" s="823"/>
      <c r="L270" s="823"/>
      <c r="M270" s="35"/>
      <c r="N270" s="35"/>
      <c r="O270" s="35"/>
      <c r="P270" s="35"/>
    </row>
    <row r="271" spans="1:16" ht="17.25" customHeight="1" x14ac:dyDescent="0.2">
      <c r="C271" s="635" t="s">
        <v>241</v>
      </c>
      <c r="D271" s="771"/>
      <c r="E271" s="750"/>
      <c r="F271" s="751"/>
      <c r="G271" s="678">
        <f t="shared" ref="G271:L271" si="111">100%-G269-G270</f>
        <v>1</v>
      </c>
      <c r="H271" s="678">
        <f t="shared" si="111"/>
        <v>1</v>
      </c>
      <c r="I271" s="678">
        <f t="shared" si="111"/>
        <v>1</v>
      </c>
      <c r="J271" s="678">
        <f t="shared" si="111"/>
        <v>1</v>
      </c>
      <c r="K271" s="678">
        <f t="shared" si="111"/>
        <v>1</v>
      </c>
      <c r="L271" s="678">
        <f t="shared" si="111"/>
        <v>1</v>
      </c>
      <c r="M271" s="356"/>
      <c r="N271" s="35"/>
      <c r="O271" s="356"/>
      <c r="P271" s="357"/>
    </row>
    <row r="272" spans="1:16" ht="6.75" customHeight="1" x14ac:dyDescent="0.2"/>
    <row r="273" spans="1:13" s="195" customFormat="1" ht="17.25" customHeight="1" x14ac:dyDescent="0.25">
      <c r="A273" s="223"/>
      <c r="B273" s="382"/>
      <c r="C273" s="514" t="s">
        <v>573</v>
      </c>
      <c r="D273" s="196"/>
      <c r="E273" s="568"/>
      <c r="F273" s="224"/>
      <c r="G273" s="224"/>
      <c r="H273" s="224"/>
      <c r="I273" s="224"/>
      <c r="J273" s="224"/>
      <c r="K273" s="224"/>
      <c r="L273" s="225"/>
    </row>
    <row r="274" spans="1:13" ht="6.75" customHeight="1" x14ac:dyDescent="0.2"/>
    <row r="275" spans="1:13" ht="30" customHeight="1" x14ac:dyDescent="0.2">
      <c r="A275" s="34" t="s">
        <v>286</v>
      </c>
      <c r="C275" s="704"/>
      <c r="D275" s="176" t="s">
        <v>692</v>
      </c>
      <c r="E275" s="5"/>
      <c r="K275" s="423"/>
    </row>
    <row r="276" spans="1:13" ht="30" customHeight="1" x14ac:dyDescent="0.2">
      <c r="A276" s="34" t="s">
        <v>338</v>
      </c>
      <c r="C276" s="352"/>
      <c r="D276" s="176" t="s">
        <v>501</v>
      </c>
      <c r="E276" s="5"/>
      <c r="H276" s="41"/>
    </row>
    <row r="277" spans="1:13" ht="6.75" customHeight="1" x14ac:dyDescent="0.2">
      <c r="L277" s="35"/>
    </row>
    <row r="278" spans="1:13" s="79" customFormat="1" ht="23.25" customHeight="1" x14ac:dyDescent="0.25">
      <c r="A278" s="78"/>
      <c r="B278" s="371"/>
      <c r="C278" s="666" t="s">
        <v>588</v>
      </c>
      <c r="D278" s="282"/>
      <c r="G278" s="732">
        <f>+IF(G260&gt;G229,0,G229-SUM(G261:G263))</f>
        <v>0</v>
      </c>
      <c r="H278" s="732">
        <f t="shared" ref="H278:L278" si="112">+IF(H260&gt;H229,0,H229-SUM(H261:H263))</f>
        <v>0</v>
      </c>
      <c r="I278" s="732">
        <f t="shared" si="112"/>
        <v>0</v>
      </c>
      <c r="J278" s="732">
        <f t="shared" si="112"/>
        <v>0</v>
      </c>
      <c r="K278" s="732">
        <f t="shared" si="112"/>
        <v>0</v>
      </c>
      <c r="L278" s="732">
        <f t="shared" si="112"/>
        <v>0</v>
      </c>
      <c r="M278" s="654" t="s">
        <v>674</v>
      </c>
    </row>
    <row r="279" spans="1:13" ht="6.75" customHeight="1" x14ac:dyDescent="0.2"/>
    <row r="280" spans="1:13" s="79" customFormat="1" ht="21" customHeight="1" x14ac:dyDescent="0.25">
      <c r="A280" s="78"/>
      <c r="B280" s="371"/>
      <c r="C280" s="192" t="s">
        <v>565</v>
      </c>
      <c r="D280" s="282"/>
      <c r="G280" s="626">
        <f t="shared" ref="G280:L280" si="113">+SUMIF($B$284:$B$2934,G$4,$D$284:$D$2934)</f>
        <v>0</v>
      </c>
      <c r="H280" s="626">
        <f t="shared" si="113"/>
        <v>0</v>
      </c>
      <c r="I280" s="626">
        <f t="shared" si="113"/>
        <v>0</v>
      </c>
      <c r="J280" s="626">
        <f t="shared" si="113"/>
        <v>0</v>
      </c>
      <c r="K280" s="626">
        <f t="shared" si="113"/>
        <v>0</v>
      </c>
      <c r="L280" s="626">
        <f t="shared" si="113"/>
        <v>0</v>
      </c>
    </row>
    <row r="281" spans="1:13" ht="6.75" customHeight="1" x14ac:dyDescent="0.2"/>
    <row r="282" spans="1:13" ht="17.25" customHeight="1" x14ac:dyDescent="0.2">
      <c r="C282" s="489" t="s">
        <v>408</v>
      </c>
      <c r="D282" s="490" t="str">
        <f>+IF((D285+D286)&lt;=1,"CP","MLP")</f>
        <v>CP</v>
      </c>
      <c r="E282" s="176"/>
      <c r="F282" s="76"/>
      <c r="G282" s="76"/>
      <c r="H282" s="76"/>
      <c r="I282" s="76"/>
      <c r="J282" s="76"/>
      <c r="K282" s="76"/>
    </row>
    <row r="283" spans="1:13" ht="17.25" customHeight="1" x14ac:dyDescent="0.2">
      <c r="C283" s="284" t="s">
        <v>363</v>
      </c>
      <c r="D283" s="824"/>
      <c r="E283" s="41"/>
      <c r="F283" s="55"/>
      <c r="H283" s="34"/>
      <c r="I283" s="34"/>
      <c r="J283" s="34"/>
      <c r="K283" s="424"/>
      <c r="M283" s="77"/>
    </row>
    <row r="284" spans="1:13" ht="17.25" customHeight="1" x14ac:dyDescent="0.2">
      <c r="B284" s="488">
        <f>+D283</f>
        <v>0</v>
      </c>
      <c r="C284" s="284" t="s">
        <v>111</v>
      </c>
      <c r="D284" s="825"/>
      <c r="E284" s="41"/>
      <c r="F284" s="41"/>
      <c r="G284" s="41"/>
      <c r="H284" s="41"/>
      <c r="I284" s="41"/>
      <c r="J284" s="41"/>
      <c r="K284" s="41"/>
      <c r="M284" s="77"/>
    </row>
    <row r="285" spans="1:13" ht="17.25" customHeight="1" x14ac:dyDescent="0.2">
      <c r="C285" s="284" t="s">
        <v>409</v>
      </c>
      <c r="D285" s="826">
        <v>1</v>
      </c>
      <c r="E285" s="41"/>
      <c r="F285" s="34"/>
      <c r="G285" s="34"/>
      <c r="H285" s="34"/>
      <c r="I285" s="34"/>
      <c r="J285" s="34"/>
      <c r="K285" s="34"/>
      <c r="M285" s="77"/>
    </row>
    <row r="286" spans="1:13" ht="17.25" customHeight="1" x14ac:dyDescent="0.2">
      <c r="C286" s="284" t="s">
        <v>64</v>
      </c>
      <c r="D286" s="827"/>
      <c r="E286" s="34"/>
      <c r="F286" s="55"/>
      <c r="G286" s="55"/>
      <c r="H286" s="55"/>
      <c r="I286" s="55"/>
      <c r="J286" s="55"/>
      <c r="K286" s="55"/>
      <c r="M286" s="77"/>
    </row>
    <row r="287" spans="1:13" ht="17.25" customHeight="1" x14ac:dyDescent="0.2">
      <c r="C287" s="284" t="s">
        <v>110</v>
      </c>
      <c r="D287" s="828"/>
      <c r="E287" s="348" t="s">
        <v>589</v>
      </c>
      <c r="F287" s="34"/>
      <c r="G287" s="34"/>
      <c r="H287" s="34"/>
      <c r="I287" s="34"/>
      <c r="J287" s="34"/>
      <c r="K287" s="34"/>
      <c r="M287" s="77"/>
    </row>
    <row r="288" spans="1:13" ht="17.25" customHeight="1" x14ac:dyDescent="0.2">
      <c r="C288" s="489" t="s">
        <v>408</v>
      </c>
      <c r="D288" s="490" t="str">
        <f>+IF((D291+D292)&lt;=1,"CP","MLP")</f>
        <v>CP</v>
      </c>
      <c r="E288" s="836" t="s">
        <v>693</v>
      </c>
      <c r="F288" s="76"/>
      <c r="G288" s="76"/>
      <c r="H288" s="76"/>
      <c r="I288" s="76"/>
      <c r="J288" s="76"/>
      <c r="K288" s="76"/>
    </row>
    <row r="289" spans="1:13" ht="17.25" customHeight="1" x14ac:dyDescent="0.2">
      <c r="C289" s="284" t="s">
        <v>363</v>
      </c>
      <c r="D289" s="824"/>
      <c r="E289" s="41"/>
      <c r="F289" s="34"/>
      <c r="G289" s="34"/>
      <c r="H289" s="34"/>
      <c r="I289" s="34"/>
      <c r="J289" s="34"/>
      <c r="K289" s="34"/>
      <c r="M289" s="77"/>
    </row>
    <row r="290" spans="1:13" ht="17.25" customHeight="1" x14ac:dyDescent="0.2">
      <c r="B290" s="488">
        <f>+D289</f>
        <v>0</v>
      </c>
      <c r="C290" s="284" t="s">
        <v>111</v>
      </c>
      <c r="D290" s="825"/>
      <c r="E290" s="41"/>
      <c r="F290" s="41"/>
      <c r="G290" s="41"/>
      <c r="H290" s="41"/>
      <c r="I290" s="41"/>
      <c r="J290" s="41"/>
      <c r="K290" s="41"/>
      <c r="M290" s="77"/>
    </row>
    <row r="291" spans="1:13" ht="17.25" customHeight="1" x14ac:dyDescent="0.2">
      <c r="C291" s="284" t="s">
        <v>409</v>
      </c>
      <c r="D291" s="826">
        <v>1</v>
      </c>
      <c r="E291" s="226"/>
      <c r="F291" s="34"/>
      <c r="G291" s="34"/>
      <c r="H291" s="34"/>
      <c r="I291" s="34"/>
      <c r="J291" s="34"/>
      <c r="K291" s="34"/>
      <c r="M291" s="77"/>
    </row>
    <row r="292" spans="1:13" ht="17.25" customHeight="1" x14ac:dyDescent="0.2">
      <c r="C292" s="284" t="s">
        <v>64</v>
      </c>
      <c r="D292" s="827">
        <v>0</v>
      </c>
      <c r="E292" s="34"/>
      <c r="F292" s="55"/>
      <c r="G292" s="55"/>
      <c r="H292" s="55"/>
      <c r="I292" s="55"/>
      <c r="J292" s="55"/>
      <c r="K292" s="55"/>
      <c r="M292" s="77"/>
    </row>
    <row r="293" spans="1:13" ht="17.25" customHeight="1" x14ac:dyDescent="0.2">
      <c r="C293" s="284" t="s">
        <v>110</v>
      </c>
      <c r="D293" s="828"/>
      <c r="E293" s="348" t="s">
        <v>589</v>
      </c>
      <c r="F293" s="34"/>
      <c r="G293" s="34"/>
      <c r="H293" s="34"/>
      <c r="I293" s="34"/>
      <c r="J293" s="34"/>
      <c r="K293" s="34"/>
      <c r="M293" s="77"/>
    </row>
    <row r="294" spans="1:13" ht="6.75" customHeight="1" x14ac:dyDescent="0.2">
      <c r="E294" s="67"/>
    </row>
    <row r="295" spans="1:13" ht="22.5" customHeight="1" x14ac:dyDescent="0.2">
      <c r="C295" s="55"/>
    </row>
    <row r="296" spans="1:13" s="195" customFormat="1" ht="17.25" customHeight="1" x14ac:dyDescent="0.25">
      <c r="A296" s="223"/>
      <c r="B296" s="382"/>
      <c r="C296" s="514" t="s">
        <v>546</v>
      </c>
      <c r="D296" s="196"/>
      <c r="E296" s="224"/>
      <c r="F296" s="224"/>
      <c r="G296" s="224"/>
      <c r="H296" s="224"/>
      <c r="I296" s="224"/>
      <c r="J296" s="224"/>
      <c r="K296" s="224"/>
      <c r="L296" s="225"/>
    </row>
    <row r="297" spans="1:13" ht="6.75" customHeight="1" x14ac:dyDescent="0.2">
      <c r="C297" s="70"/>
    </row>
    <row r="298" spans="1:13" ht="17.25" customHeight="1" x14ac:dyDescent="0.2">
      <c r="C298" s="178" t="s">
        <v>75</v>
      </c>
      <c r="D298" s="71"/>
    </row>
    <row r="299" spans="1:13" ht="17.25" customHeight="1" x14ac:dyDescent="0.2">
      <c r="C299" s="178" t="s">
        <v>613</v>
      </c>
      <c r="D299" s="829">
        <f ca="1">+D300*'3. Avaliação Financeira'!E97+D305*'3. Avaliação Financeira'!E96</f>
        <v>0</v>
      </c>
      <c r="E299" s="348" t="s">
        <v>618</v>
      </c>
      <c r="F299" s="435"/>
      <c r="H299" s="365"/>
    </row>
    <row r="300" spans="1:13" ht="17.25" customHeight="1" x14ac:dyDescent="0.2">
      <c r="C300" s="178" t="s">
        <v>614</v>
      </c>
      <c r="D300" s="830">
        <f>+D301+(D302*(D303-D301)+D304)</f>
        <v>0</v>
      </c>
      <c r="E300" s="348"/>
      <c r="H300" s="365"/>
    </row>
    <row r="301" spans="1:13" ht="17.25" customHeight="1" x14ac:dyDescent="0.2">
      <c r="C301" s="284" t="s">
        <v>324</v>
      </c>
      <c r="D301" s="832"/>
      <c r="E301" s="348" t="s">
        <v>327</v>
      </c>
      <c r="H301" s="365"/>
    </row>
    <row r="302" spans="1:13" ht="17.25" customHeight="1" x14ac:dyDescent="0.2">
      <c r="C302" s="284" t="s">
        <v>246</v>
      </c>
      <c r="D302" s="832"/>
      <c r="E302" s="433" t="s">
        <v>328</v>
      </c>
      <c r="H302" s="365"/>
    </row>
    <row r="303" spans="1:13" ht="17.25" customHeight="1" x14ac:dyDescent="0.2">
      <c r="C303" s="284" t="s">
        <v>615</v>
      </c>
      <c r="D303" s="832"/>
      <c r="E303" s="348" t="s">
        <v>325</v>
      </c>
      <c r="H303" s="365"/>
    </row>
    <row r="304" spans="1:13" ht="17.25" customHeight="1" x14ac:dyDescent="0.2">
      <c r="C304" s="284" t="s">
        <v>247</v>
      </c>
      <c r="D304" s="832"/>
      <c r="E304" s="348" t="s">
        <v>329</v>
      </c>
      <c r="H304" s="365"/>
    </row>
    <row r="305" spans="1:12" ht="17.25" customHeight="1" x14ac:dyDescent="0.2">
      <c r="C305" s="178" t="s">
        <v>616</v>
      </c>
      <c r="D305" s="831">
        <f>+D306*(1-D18)</f>
        <v>0</v>
      </c>
      <c r="E305" s="348"/>
      <c r="H305" s="365"/>
    </row>
    <row r="306" spans="1:12" ht="17.25" customHeight="1" x14ac:dyDescent="0.2">
      <c r="C306" s="284" t="s">
        <v>617</v>
      </c>
      <c r="D306" s="832"/>
      <c r="E306" s="348" t="s">
        <v>326</v>
      </c>
      <c r="H306" s="365"/>
    </row>
    <row r="308" spans="1:12" ht="6.75" customHeight="1" x14ac:dyDescent="0.2"/>
    <row r="309" spans="1:12" s="195" customFormat="1" ht="17.25" customHeight="1" x14ac:dyDescent="0.25">
      <c r="A309" s="223"/>
      <c r="B309" s="382"/>
      <c r="C309" s="514" t="s">
        <v>590</v>
      </c>
      <c r="D309" s="196"/>
      <c r="E309" s="224"/>
      <c r="F309" s="224"/>
      <c r="G309" s="224"/>
      <c r="H309" s="224"/>
      <c r="I309" s="224"/>
      <c r="J309" s="224"/>
      <c r="K309" s="224"/>
      <c r="L309" s="225"/>
    </row>
    <row r="310" spans="1:12" ht="6.75" customHeight="1" x14ac:dyDescent="0.2"/>
    <row r="311" spans="1:12" ht="17.25" customHeight="1" x14ac:dyDescent="0.2">
      <c r="C311" s="45" t="s">
        <v>422</v>
      </c>
      <c r="D311" s="782"/>
      <c r="E311" s="560" t="s">
        <v>498</v>
      </c>
      <c r="F311" s="354"/>
      <c r="G311" s="358"/>
      <c r="I311" s="358"/>
      <c r="J311" s="434"/>
    </row>
    <row r="314" spans="1:12" customFormat="1" ht="15" x14ac:dyDescent="0.25">
      <c r="B314" s="21"/>
      <c r="C314" s="684" t="s">
        <v>660</v>
      </c>
      <c r="D314" s="685"/>
      <c r="E314" s="7"/>
    </row>
    <row r="315" spans="1:12" customFormat="1" ht="15" x14ac:dyDescent="0.25">
      <c r="B315" s="21"/>
      <c r="D315" s="685"/>
      <c r="E315" s="7"/>
    </row>
    <row r="316" spans="1:12" customFormat="1" ht="15" x14ac:dyDescent="0.25">
      <c r="B316" s="21"/>
      <c r="D316" s="685"/>
      <c r="E316" s="7"/>
    </row>
    <row r="317" spans="1:12" customFormat="1" ht="15" x14ac:dyDescent="0.25">
      <c r="B317" s="21"/>
      <c r="D317" s="685"/>
      <c r="E317" s="7"/>
    </row>
    <row r="318" spans="1:12" customFormat="1" ht="15" x14ac:dyDescent="0.25">
      <c r="B318" s="21"/>
      <c r="D318" s="685"/>
      <c r="E318" s="7"/>
    </row>
  </sheetData>
  <mergeCells count="1">
    <mergeCell ref="D265:F266"/>
  </mergeCells>
  <conditionalFormatting sqref="D101">
    <cfRule type="colorScale" priority="146">
      <colorScale>
        <cfvo type="percent" val="0"/>
        <cfvo type="percent" val="100"/>
        <color theme="0"/>
        <color theme="0"/>
      </colorScale>
    </cfRule>
  </conditionalFormatting>
  <conditionalFormatting sqref="D246:D247 D250:D253 D255:D258">
    <cfRule type="cellIs" dxfId="58" priority="145" operator="between">
      <formula>0</formula>
      <formula>1</formula>
    </cfRule>
  </conditionalFormatting>
  <conditionalFormatting sqref="E55">
    <cfRule type="colorScale" priority="62">
      <colorScale>
        <cfvo type="percent" val="0"/>
        <cfvo type="percent" val="100"/>
        <color theme="0"/>
        <color theme="0"/>
      </colorScale>
    </cfRule>
  </conditionalFormatting>
  <conditionalFormatting sqref="E66">
    <cfRule type="colorScale" priority="61">
      <colorScale>
        <cfvo type="percent" val="0"/>
        <cfvo type="percent" val="100"/>
        <color theme="0"/>
        <color theme="0"/>
      </colorScale>
    </cfRule>
  </conditionalFormatting>
  <conditionalFormatting sqref="E72">
    <cfRule type="colorScale" priority="60">
      <colorScale>
        <cfvo type="percent" val="0"/>
        <cfvo type="percent" val="100"/>
        <color theme="0"/>
        <color theme="0"/>
      </colorScale>
    </cfRule>
  </conditionalFormatting>
  <conditionalFormatting sqref="G58">
    <cfRule type="colorScale" priority="59">
      <colorScale>
        <cfvo type="percent" val="0"/>
        <cfvo type="percent" val="100"/>
        <color theme="0"/>
        <color theme="0"/>
      </colorScale>
    </cfRule>
  </conditionalFormatting>
  <conditionalFormatting sqref="G75:L75">
    <cfRule type="colorScale" priority="55">
      <colorScale>
        <cfvo type="percent" val="0"/>
        <cfvo type="percent" val="100"/>
        <color theme="0"/>
        <color theme="0"/>
      </colorScale>
    </cfRule>
  </conditionalFormatting>
  <conditionalFormatting sqref="D272">
    <cfRule type="cellIs" dxfId="57" priority="21" operator="between">
      <formula>0</formula>
      <formula>1</formula>
    </cfRule>
  </conditionalFormatting>
  <conditionalFormatting sqref="D249:F249">
    <cfRule type="cellIs" dxfId="56" priority="20" operator="between">
      <formula>0</formula>
      <formula>1</formula>
    </cfRule>
  </conditionalFormatting>
  <conditionalFormatting sqref="D248">
    <cfRule type="cellIs" dxfId="55" priority="19" operator="between">
      <formula>0</formula>
      <formula>1</formula>
    </cfRule>
  </conditionalFormatting>
  <conditionalFormatting sqref="G36:L36">
    <cfRule type="colorScale" priority="150">
      <colorScale>
        <cfvo type="percent" val="0"/>
        <cfvo type="percent" val="100"/>
        <color theme="0"/>
        <color theme="0"/>
      </colorScale>
    </cfRule>
  </conditionalFormatting>
  <conditionalFormatting sqref="F33:K33">
    <cfRule type="colorScale" priority="152">
      <colorScale>
        <cfvo type="percent" val="0"/>
        <cfvo type="percent" val="100"/>
        <color theme="0"/>
        <color theme="0"/>
      </colorScale>
    </cfRule>
  </conditionalFormatting>
  <conditionalFormatting sqref="G37:L37">
    <cfRule type="colorScale" priority="153">
      <colorScale>
        <cfvo type="percent" val="0"/>
        <cfvo type="percent" val="100"/>
        <color theme="0"/>
        <color theme="0"/>
      </colorScale>
    </cfRule>
  </conditionalFormatting>
  <conditionalFormatting sqref="H58:L58">
    <cfRule type="colorScale" priority="155">
      <colorScale>
        <cfvo type="percent" val="0"/>
        <cfvo type="percent" val="100"/>
        <color theme="0"/>
        <color theme="0"/>
      </colorScale>
    </cfRule>
  </conditionalFormatting>
  <conditionalFormatting sqref="G69 L69">
    <cfRule type="colorScale" priority="157">
      <colorScale>
        <cfvo type="percent" val="0"/>
        <cfvo type="percent" val="100"/>
        <color theme="0"/>
        <color theme="0"/>
      </colorScale>
    </cfRule>
  </conditionalFormatting>
  <conditionalFormatting sqref="H69:K69">
    <cfRule type="colorScale" priority="159">
      <colorScale>
        <cfvo type="percent" val="0"/>
        <cfvo type="percent" val="100"/>
        <color theme="0"/>
        <color theme="0"/>
      </colorScale>
    </cfRule>
  </conditionalFormatting>
  <conditionalFormatting sqref="E60">
    <cfRule type="colorScale" priority="2">
      <colorScale>
        <cfvo type="percent" val="0"/>
        <cfvo type="percent" val="100"/>
        <color theme="0"/>
        <color theme="0"/>
      </colorScale>
    </cfRule>
  </conditionalFormatting>
  <conditionalFormatting sqref="G63">
    <cfRule type="colorScale" priority="1">
      <colorScale>
        <cfvo type="percent" val="0"/>
        <cfvo type="percent" val="100"/>
        <color theme="0"/>
        <color theme="0"/>
      </colorScale>
    </cfRule>
  </conditionalFormatting>
  <conditionalFormatting sqref="H63:L63">
    <cfRule type="colorScale" priority="3">
      <colorScale>
        <cfvo type="percent" val="0"/>
        <cfvo type="percent" val="100"/>
        <color theme="0"/>
        <color theme="0"/>
      </colorScale>
    </cfRule>
  </conditionalFormatting>
  <dataValidations count="4">
    <dataValidation allowBlank="1" showInputMessage="1" showErrorMessage="1" prompt="Período de vida útil do ativo (em anos) para cálculo de amortizações." sqref="D221:F221 E214:E220 E222:E225" xr:uid="{00000000-0002-0000-0200-000000000000}"/>
    <dataValidation type="list" allowBlank="1" showInputMessage="1" showErrorMessage="1" sqref="D97 D222:D225 D66 D72 D214:D220 D55 D141 D133:D139 D120:D123 D113:D118 D129:D131 D125:D127 D186:D189 D111 D89 D60" xr:uid="{00000000-0002-0000-0200-000001000000}">
      <formula1>$D$27:$D$30</formula1>
    </dataValidation>
    <dataValidation type="decimal" allowBlank="1" showInputMessage="1" showErrorMessage="1" sqref="D88 D101 D96"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12:H112 I112:K112 G119:K119 G124:K124 G128:K128 G132:K132 G140:K14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9525</xdr:colOff>
                    <xdr:row>40</xdr:row>
                    <xdr:rowOff>381000</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457200</xdr:colOff>
                    <xdr:row>40</xdr:row>
                    <xdr:rowOff>381000</xdr:rowOff>
                  </from>
                  <to>
                    <xdr:col>3</xdr:col>
                    <xdr:colOff>0</xdr:colOff>
                    <xdr:row>41</xdr:row>
                    <xdr:rowOff>381000</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274</xdr:row>
                    <xdr:rowOff>0</xdr:rowOff>
                  </from>
                  <to>
                    <xdr:col>2</xdr:col>
                    <xdr:colOff>3924300</xdr:colOff>
                    <xdr:row>274</xdr:row>
                    <xdr:rowOff>381000</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275</xdr:row>
                    <xdr:rowOff>0</xdr:rowOff>
                  </from>
                  <to>
                    <xdr:col>2</xdr:col>
                    <xdr:colOff>3924300</xdr:colOff>
                    <xdr:row>276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37"/>
  <sheetViews>
    <sheetView showGridLines="0" zoomScale="80" zoomScaleNormal="80" workbookViewId="0">
      <pane xSplit="3" ySplit="4" topLeftCell="D20" activePane="bottomRight" state="frozen"/>
      <selection pane="topRight" activeCell="E1" sqref="E1"/>
      <selection pane="bottomLeft" activeCell="A5" sqref="A5"/>
      <selection pane="bottomRight" activeCell="E28" sqref="E28"/>
    </sheetView>
  </sheetViews>
  <sheetFormatPr defaultColWidth="9.140625" defaultRowHeight="12.75" x14ac:dyDescent="0.2"/>
  <cols>
    <col min="1" max="1" width="0.85546875" style="5" customWidth="1"/>
    <col min="2" max="2" width="5" style="5" customWidth="1"/>
    <col min="3" max="3" width="78.85546875" style="5" bestFit="1" customWidth="1"/>
    <col min="4" max="4" width="5.85546875" style="5" customWidth="1"/>
    <col min="5" max="10" width="10.85546875" style="5" customWidth="1"/>
    <col min="11" max="11" width="9.140625" style="3"/>
    <col min="12" max="16384" width="9.140625" style="5"/>
  </cols>
  <sheetData>
    <row r="1" spans="2:14" x14ac:dyDescent="0.2">
      <c r="C1" s="55"/>
      <c r="D1" s="63"/>
    </row>
    <row r="2" spans="2:14" s="195" customFormat="1" ht="20.25" customHeight="1" x14ac:dyDescent="0.25">
      <c r="C2" s="196" t="s">
        <v>713</v>
      </c>
      <c r="D2" s="197"/>
      <c r="E2" s="197"/>
      <c r="F2" s="197"/>
      <c r="G2" s="197"/>
      <c r="H2" s="197"/>
      <c r="I2" s="197"/>
      <c r="J2" s="197"/>
    </row>
    <row r="3" spans="2:14" x14ac:dyDescent="0.2">
      <c r="E3" s="405">
        <v>1</v>
      </c>
      <c r="F3" s="405">
        <v>2</v>
      </c>
      <c r="G3" s="405">
        <v>3</v>
      </c>
      <c r="H3" s="405">
        <v>4</v>
      </c>
      <c r="I3" s="405">
        <v>5</v>
      </c>
      <c r="J3" s="405">
        <v>6</v>
      </c>
    </row>
    <row r="4" spans="2:14" ht="13.5" thickBot="1" x14ac:dyDescent="0.25">
      <c r="C4" s="82" t="str">
        <f>+Capa!C13</f>
        <v>Gaming’Us</v>
      </c>
      <c r="D4" s="37"/>
      <c r="E4" s="39">
        <f>+AnoN</f>
        <v>2023</v>
      </c>
      <c r="F4" s="39">
        <f>+Pressupostos!H4</f>
        <v>2024</v>
      </c>
      <c r="G4" s="39">
        <f>+Pressupostos!I4</f>
        <v>2025</v>
      </c>
      <c r="H4" s="39">
        <f>+Pressupostos!J4</f>
        <v>2026</v>
      </c>
      <c r="I4" s="39">
        <f>+Pressupostos!K4</f>
        <v>2027</v>
      </c>
      <c r="J4" s="39">
        <f>+Pressupostos!L4</f>
        <v>2028</v>
      </c>
    </row>
    <row r="5" spans="2:14" ht="6.75" customHeight="1" thickTop="1" x14ac:dyDescent="0.2">
      <c r="E5" s="99">
        <v>2</v>
      </c>
      <c r="F5" s="99">
        <f>+E5+1</f>
        <v>3</v>
      </c>
      <c r="G5" s="99">
        <f t="shared" ref="G5:J5" si="0">+F5+1</f>
        <v>4</v>
      </c>
      <c r="H5" s="99">
        <f t="shared" si="0"/>
        <v>5</v>
      </c>
      <c r="I5" s="99">
        <f t="shared" si="0"/>
        <v>6</v>
      </c>
      <c r="J5" s="99">
        <f t="shared" si="0"/>
        <v>7</v>
      </c>
    </row>
    <row r="6" spans="2:14" ht="17.25" customHeight="1" x14ac:dyDescent="0.2">
      <c r="B6" s="100" t="s">
        <v>189</v>
      </c>
      <c r="C6" s="101" t="s">
        <v>360</v>
      </c>
      <c r="D6" s="63"/>
      <c r="E6" s="23">
        <f>+Pressupostos!G44</f>
        <v>40000</v>
      </c>
      <c r="F6" s="23">
        <f>+Pressupostos!H44</f>
        <v>48960</v>
      </c>
      <c r="G6" s="23">
        <f>+Pressupostos!I44</f>
        <v>59927.040000000001</v>
      </c>
      <c r="H6" s="23">
        <f>+Pressupostos!J44</f>
        <v>73350.696960000001</v>
      </c>
      <c r="I6" s="23">
        <f>+Pressupostos!K44</f>
        <v>89781.253079040005</v>
      </c>
      <c r="J6" s="23">
        <f>+Pressupostos!L44</f>
        <v>109892.25376874495</v>
      </c>
      <c r="K6" s="448"/>
      <c r="L6" s="449"/>
      <c r="M6" s="449"/>
      <c r="N6" s="449"/>
    </row>
    <row r="7" spans="2:14" ht="17.25" customHeight="1" x14ac:dyDescent="0.2">
      <c r="B7" s="100" t="s">
        <v>189</v>
      </c>
      <c r="C7" s="101" t="s">
        <v>175</v>
      </c>
      <c r="D7" s="64"/>
      <c r="E7" s="23">
        <f>+Pressupostos!G193</f>
        <v>0</v>
      </c>
      <c r="F7" s="23">
        <f>+Pressupostos!H193</f>
        <v>0</v>
      </c>
      <c r="G7" s="23">
        <f>+Pressupostos!I193</f>
        <v>0</v>
      </c>
      <c r="H7" s="23">
        <f>+Pressupostos!J193</f>
        <v>0</v>
      </c>
      <c r="I7" s="23">
        <f>+Pressupostos!K193</f>
        <v>0</v>
      </c>
      <c r="J7" s="23">
        <f>+Pressupostos!L193</f>
        <v>0</v>
      </c>
      <c r="K7" s="448"/>
      <c r="L7" s="449"/>
      <c r="M7" s="449"/>
      <c r="N7" s="449"/>
    </row>
    <row r="8" spans="2:14" ht="12.75" hidden="1" customHeight="1" x14ac:dyDescent="0.2">
      <c r="B8" s="100" t="s">
        <v>189</v>
      </c>
      <c r="C8" s="102" t="s">
        <v>176</v>
      </c>
      <c r="D8" s="64"/>
      <c r="E8" s="23"/>
      <c r="F8" s="23"/>
      <c r="G8" s="23"/>
      <c r="H8" s="23"/>
      <c r="I8" s="23"/>
      <c r="J8" s="23"/>
      <c r="K8" s="448"/>
      <c r="L8" s="449"/>
      <c r="M8" s="449"/>
      <c r="N8" s="449"/>
    </row>
    <row r="9" spans="2:14" ht="17.25" customHeight="1" x14ac:dyDescent="0.2">
      <c r="B9" s="103" t="s">
        <v>190</v>
      </c>
      <c r="C9" s="101" t="s">
        <v>177</v>
      </c>
      <c r="D9" s="64"/>
      <c r="E9" s="276">
        <f>+Pressupostos!G102</f>
        <v>0</v>
      </c>
      <c r="F9" s="276">
        <f>+Pressupostos!H102</f>
        <v>0</v>
      </c>
      <c r="G9" s="276">
        <f>+Pressupostos!I102</f>
        <v>0</v>
      </c>
      <c r="H9" s="276">
        <f>+Pressupostos!J102</f>
        <v>0</v>
      </c>
      <c r="I9" s="276">
        <f>+Pressupostos!K102</f>
        <v>0</v>
      </c>
      <c r="J9" s="276">
        <f>+Pressupostos!L102</f>
        <v>0</v>
      </c>
      <c r="K9" s="448"/>
      <c r="L9" s="449"/>
      <c r="M9" s="449"/>
      <c r="N9" s="449"/>
    </row>
    <row r="10" spans="2:14" ht="17.25" hidden="1" customHeight="1" x14ac:dyDescent="0.2">
      <c r="B10" s="100" t="s">
        <v>189</v>
      </c>
      <c r="C10" s="101" t="s">
        <v>178</v>
      </c>
      <c r="D10" s="64"/>
      <c r="E10" s="276"/>
      <c r="F10" s="276"/>
      <c r="G10" s="276"/>
      <c r="H10" s="276"/>
      <c r="I10" s="276"/>
      <c r="J10" s="276"/>
      <c r="K10" s="448"/>
      <c r="L10" s="449"/>
      <c r="M10" s="449"/>
      <c r="N10" s="449"/>
    </row>
    <row r="11" spans="2:14" ht="17.25" customHeight="1" x14ac:dyDescent="0.2">
      <c r="B11" s="100" t="s">
        <v>191</v>
      </c>
      <c r="C11" s="101" t="s">
        <v>81</v>
      </c>
      <c r="D11" s="64"/>
      <c r="E11" s="276">
        <f>-Pressupostos!G81</f>
        <v>0</v>
      </c>
      <c r="F11" s="276">
        <f>-Pressupostos!H81</f>
        <v>0</v>
      </c>
      <c r="G11" s="276">
        <f>-Pressupostos!I81</f>
        <v>0</v>
      </c>
      <c r="H11" s="276">
        <f>-Pressupostos!J81</f>
        <v>0</v>
      </c>
      <c r="I11" s="276">
        <f>-Pressupostos!K81</f>
        <v>0</v>
      </c>
      <c r="J11" s="276">
        <f>-Pressupostos!L81</f>
        <v>0</v>
      </c>
      <c r="K11" s="448"/>
      <c r="L11" s="449"/>
      <c r="M11" s="449"/>
      <c r="N11" s="449"/>
    </row>
    <row r="12" spans="2:14" ht="17.25" customHeight="1" x14ac:dyDescent="0.2">
      <c r="B12" s="100" t="s">
        <v>191</v>
      </c>
      <c r="C12" s="101" t="s">
        <v>14</v>
      </c>
      <c r="D12" s="64"/>
      <c r="E12" s="276">
        <f>-Pressupostos!G108</f>
        <v>0</v>
      </c>
      <c r="F12" s="276">
        <f>-Pressupostos!H108</f>
        <v>0</v>
      </c>
      <c r="G12" s="276">
        <f>-Pressupostos!I108</f>
        <v>0</v>
      </c>
      <c r="H12" s="276">
        <f>-Pressupostos!J108</f>
        <v>0</v>
      </c>
      <c r="I12" s="276">
        <f>-Pressupostos!K108</f>
        <v>0</v>
      </c>
      <c r="J12" s="276">
        <f>-Pressupostos!L108</f>
        <v>0</v>
      </c>
      <c r="K12" s="448"/>
      <c r="L12" s="449"/>
      <c r="M12" s="449"/>
      <c r="N12" s="449"/>
    </row>
    <row r="13" spans="2:14" ht="17.25" customHeight="1" x14ac:dyDescent="0.2">
      <c r="B13" s="100" t="s">
        <v>191</v>
      </c>
      <c r="C13" s="101" t="s">
        <v>179</v>
      </c>
      <c r="D13" s="64"/>
      <c r="E13" s="23">
        <f>-Pressupostos!G145</f>
        <v>0</v>
      </c>
      <c r="F13" s="23">
        <f>-Pressupostos!H145</f>
        <v>0</v>
      </c>
      <c r="G13" s="23">
        <f>-Pressupostos!I145</f>
        <v>0</v>
      </c>
      <c r="H13" s="23">
        <f>-Pressupostos!J145</f>
        <v>0</v>
      </c>
      <c r="I13" s="23">
        <f>-Pressupostos!K145</f>
        <v>0</v>
      </c>
      <c r="J13" s="23">
        <f>-Pressupostos!L145</f>
        <v>0</v>
      </c>
    </row>
    <row r="14" spans="2:14" ht="17.25" customHeight="1" x14ac:dyDescent="0.2">
      <c r="B14" s="100" t="s">
        <v>192</v>
      </c>
      <c r="C14" s="102" t="s">
        <v>180</v>
      </c>
      <c r="D14" s="64"/>
      <c r="E14" s="23">
        <f>-Pressupostos!G194</f>
        <v>0</v>
      </c>
      <c r="F14" s="23">
        <f>-Pressupostos!H194</f>
        <v>0</v>
      </c>
      <c r="G14" s="23">
        <f>-Pressupostos!I194</f>
        <v>0</v>
      </c>
      <c r="H14" s="23">
        <f>-Pressupostos!J194</f>
        <v>0</v>
      </c>
      <c r="I14" s="23">
        <f>-Pressupostos!K194</f>
        <v>0</v>
      </c>
      <c r="J14" s="23">
        <f>-Pressupostos!L194</f>
        <v>0</v>
      </c>
    </row>
    <row r="15" spans="2:14" ht="17.25" customHeight="1" x14ac:dyDescent="0.2">
      <c r="B15" s="100" t="s">
        <v>192</v>
      </c>
      <c r="C15" s="102" t="s">
        <v>181</v>
      </c>
      <c r="D15" s="64"/>
      <c r="E15" s="23">
        <f>-Pressupostos!G195</f>
        <v>0</v>
      </c>
      <c r="F15" s="23">
        <f>-Pressupostos!H195</f>
        <v>0</v>
      </c>
      <c r="G15" s="23">
        <f>-Pressupostos!I195</f>
        <v>0</v>
      </c>
      <c r="H15" s="23">
        <f>-Pressupostos!J195</f>
        <v>0</v>
      </c>
      <c r="I15" s="23">
        <f>-Pressupostos!K195</f>
        <v>0</v>
      </c>
      <c r="J15" s="23">
        <f>-Pressupostos!L195</f>
        <v>0</v>
      </c>
    </row>
    <row r="16" spans="2:14" ht="17.25" hidden="1" customHeight="1" x14ac:dyDescent="0.2">
      <c r="B16" s="100" t="s">
        <v>192</v>
      </c>
      <c r="C16" s="101" t="s">
        <v>182</v>
      </c>
      <c r="D16" s="64"/>
      <c r="E16" s="23"/>
      <c r="F16" s="23"/>
      <c r="G16" s="23"/>
      <c r="H16" s="23"/>
      <c r="I16" s="23"/>
      <c r="J16" s="23"/>
    </row>
    <row r="17" spans="2:11" hidden="1" x14ac:dyDescent="0.2">
      <c r="B17" s="100" t="s">
        <v>192</v>
      </c>
      <c r="C17" s="102" t="s">
        <v>183</v>
      </c>
      <c r="D17" s="64"/>
      <c r="E17" s="23"/>
      <c r="F17" s="23"/>
      <c r="G17" s="23"/>
      <c r="H17" s="23"/>
      <c r="I17" s="23"/>
      <c r="J17" s="23"/>
    </row>
    <row r="18" spans="2:11" ht="17.25" hidden="1" customHeight="1" x14ac:dyDescent="0.2">
      <c r="B18" s="103" t="s">
        <v>190</v>
      </c>
      <c r="C18" s="101" t="s">
        <v>184</v>
      </c>
      <c r="D18" s="64"/>
      <c r="E18" s="23"/>
      <c r="F18" s="23"/>
      <c r="G18" s="23"/>
      <c r="H18" s="23"/>
      <c r="I18" s="23"/>
      <c r="J18" s="23"/>
    </row>
    <row r="19" spans="2:11" ht="17.25" customHeight="1" x14ac:dyDescent="0.2">
      <c r="B19" s="100" t="s">
        <v>189</v>
      </c>
      <c r="C19" s="101" t="s">
        <v>212</v>
      </c>
      <c r="D19" s="64"/>
      <c r="E19" s="23">
        <f>+Pressupostos!G196+Pressupostos!G237</f>
        <v>0</v>
      </c>
      <c r="F19" s="23">
        <f ca="1">+Pressupostos!H196+Pressupostos!H237</f>
        <v>0</v>
      </c>
      <c r="G19" s="23">
        <f ca="1">+Pressupostos!I196+Pressupostos!I237</f>
        <v>0</v>
      </c>
      <c r="H19" s="23">
        <f ca="1">+Pressupostos!J196+Pressupostos!J237</f>
        <v>0</v>
      </c>
      <c r="I19" s="23">
        <f ca="1">+Pressupostos!K196+Pressupostos!K237</f>
        <v>0</v>
      </c>
      <c r="J19" s="23">
        <f ca="1">+Pressupostos!L196+Pressupostos!L237</f>
        <v>0</v>
      </c>
    </row>
    <row r="20" spans="2:11" ht="17.25" customHeight="1" x14ac:dyDescent="0.2">
      <c r="B20" s="100" t="s">
        <v>191</v>
      </c>
      <c r="C20" s="101" t="s">
        <v>84</v>
      </c>
      <c r="D20" s="65"/>
      <c r="E20" s="23">
        <f>-Pressupostos!G197</f>
        <v>0</v>
      </c>
      <c r="F20" s="23">
        <f>-Pressupostos!H197</f>
        <v>0</v>
      </c>
      <c r="G20" s="23">
        <f>-Pressupostos!I197</f>
        <v>0</v>
      </c>
      <c r="H20" s="23">
        <f>-Pressupostos!J197</f>
        <v>0</v>
      </c>
      <c r="I20" s="23">
        <f>-Pressupostos!K197</f>
        <v>0</v>
      </c>
      <c r="J20" s="23">
        <f>-Pressupostos!L197</f>
        <v>0</v>
      </c>
    </row>
    <row r="21" spans="2:11" ht="20.25" customHeight="1" x14ac:dyDescent="0.2">
      <c r="B21" s="104"/>
      <c r="C21" s="105" t="s">
        <v>257</v>
      </c>
      <c r="D21" s="60"/>
      <c r="E21" s="24">
        <f>+E20+E19+E15+E14+E13+E12+E11+E7+E6+E9</f>
        <v>40000</v>
      </c>
      <c r="F21" s="24">
        <f t="shared" ref="F21:J21" ca="1" si="1">+F20+F19+F15+F14+F13+F12+F11+F7+F6+F9</f>
        <v>48960</v>
      </c>
      <c r="G21" s="24">
        <f t="shared" ca="1" si="1"/>
        <v>59927.040000000001</v>
      </c>
      <c r="H21" s="24">
        <f t="shared" ca="1" si="1"/>
        <v>73350.696960000001</v>
      </c>
      <c r="I21" s="24">
        <f t="shared" ca="1" si="1"/>
        <v>89781.253079040005</v>
      </c>
      <c r="J21" s="24">
        <f t="shared" ca="1" si="1"/>
        <v>109892.25376874495</v>
      </c>
      <c r="K21" s="329"/>
    </row>
    <row r="22" spans="2:11" ht="17.25" customHeight="1" x14ac:dyDescent="0.2">
      <c r="B22" s="100" t="s">
        <v>192</v>
      </c>
      <c r="C22" s="102" t="s">
        <v>185</v>
      </c>
      <c r="D22" s="63"/>
      <c r="E22" s="23">
        <f>-'6. Investimento'!F36</f>
        <v>0</v>
      </c>
      <c r="F22" s="23">
        <f>-'6. Investimento'!G36</f>
        <v>0</v>
      </c>
      <c r="G22" s="23">
        <f>-'6. Investimento'!H36</f>
        <v>0</v>
      </c>
      <c r="H22" s="23">
        <f>-'6. Investimento'!I36</f>
        <v>0</v>
      </c>
      <c r="I22" s="23">
        <f>-'6. Investimento'!J36</f>
        <v>0</v>
      </c>
      <c r="J22" s="23">
        <f>-'6. Investimento'!K36</f>
        <v>0</v>
      </c>
      <c r="K22" s="33"/>
    </row>
    <row r="23" spans="2:11" hidden="1" x14ac:dyDescent="0.2">
      <c r="B23" s="100" t="s">
        <v>192</v>
      </c>
      <c r="C23" s="102" t="s">
        <v>186</v>
      </c>
      <c r="D23" s="65"/>
      <c r="E23" s="23"/>
      <c r="F23" s="23"/>
      <c r="G23" s="23"/>
      <c r="H23" s="23"/>
      <c r="I23" s="23"/>
      <c r="J23" s="23"/>
      <c r="K23" s="33"/>
    </row>
    <row r="24" spans="2:11" ht="20.25" customHeight="1" x14ac:dyDescent="0.2">
      <c r="B24" s="104"/>
      <c r="C24" s="105" t="s">
        <v>258</v>
      </c>
      <c r="D24" s="60"/>
      <c r="E24" s="24">
        <f>+IFERROR(E21+E22,"")</f>
        <v>40000</v>
      </c>
      <c r="F24" s="24">
        <f t="shared" ref="F24:J24" ca="1" si="2">+IFERROR(F21+F22,"")</f>
        <v>48960</v>
      </c>
      <c r="G24" s="24">
        <f t="shared" ca="1" si="2"/>
        <v>59927.040000000001</v>
      </c>
      <c r="H24" s="24">
        <f t="shared" ca="1" si="2"/>
        <v>73350.696960000001</v>
      </c>
      <c r="I24" s="24">
        <f t="shared" ca="1" si="2"/>
        <v>89781.253079040005</v>
      </c>
      <c r="J24" s="24">
        <f t="shared" ca="1" si="2"/>
        <v>109892.25376874495</v>
      </c>
      <c r="K24" s="329"/>
    </row>
    <row r="25" spans="2:11" ht="17.25" hidden="1" customHeight="1" x14ac:dyDescent="0.2">
      <c r="B25" s="100" t="s">
        <v>189</v>
      </c>
      <c r="C25" s="101" t="s">
        <v>187</v>
      </c>
      <c r="D25" s="63"/>
      <c r="E25" s="23"/>
      <c r="F25" s="23"/>
      <c r="G25" s="23"/>
      <c r="H25" s="23"/>
      <c r="I25" s="23"/>
      <c r="J25" s="23"/>
      <c r="K25" s="33"/>
    </row>
    <row r="26" spans="2:11" ht="17.25" customHeight="1" x14ac:dyDescent="0.2">
      <c r="B26" s="100" t="s">
        <v>191</v>
      </c>
      <c r="C26" s="284" t="s">
        <v>188</v>
      </c>
      <c r="D26" s="52"/>
      <c r="E26" s="276">
        <f ca="1">-'7. Serviço da Dívida'!E12</f>
        <v>0</v>
      </c>
      <c r="F26" s="276">
        <f ca="1">-'7. Serviço da Dívida'!F12</f>
        <v>0</v>
      </c>
      <c r="G26" s="276">
        <f ca="1">-'7. Serviço da Dívida'!G12</f>
        <v>0</v>
      </c>
      <c r="H26" s="276">
        <f ca="1">-'7. Serviço da Dívida'!H12</f>
        <v>0</v>
      </c>
      <c r="I26" s="276">
        <f ca="1">-'7. Serviço da Dívida'!I12</f>
        <v>0</v>
      </c>
      <c r="J26" s="276">
        <f ca="1">-'7. Serviço da Dívida'!J12</f>
        <v>0</v>
      </c>
      <c r="K26" s="33"/>
    </row>
    <row r="27" spans="2:11" ht="20.25" customHeight="1" x14ac:dyDescent="0.2">
      <c r="B27" s="104"/>
      <c r="C27" s="105" t="s">
        <v>259</v>
      </c>
      <c r="D27" s="60"/>
      <c r="E27" s="24">
        <f ca="1">+IFERROR(E24+E26,"")</f>
        <v>40000</v>
      </c>
      <c r="F27" s="24">
        <f t="shared" ref="F27:J27" ca="1" si="3">+IFERROR(F24+F26,"")</f>
        <v>48960</v>
      </c>
      <c r="G27" s="24">
        <f t="shared" ca="1" si="3"/>
        <v>59927.040000000001</v>
      </c>
      <c r="H27" s="24">
        <f t="shared" ca="1" si="3"/>
        <v>73350.696960000001</v>
      </c>
      <c r="I27" s="24">
        <f t="shared" ca="1" si="3"/>
        <v>89781.253079040005</v>
      </c>
      <c r="J27" s="24">
        <f t="shared" ca="1" si="3"/>
        <v>109892.25376874495</v>
      </c>
      <c r="K27" s="329"/>
    </row>
    <row r="28" spans="2:11" ht="17.25" customHeight="1" x14ac:dyDescent="0.2">
      <c r="B28" s="100" t="s">
        <v>192</v>
      </c>
      <c r="C28" s="101" t="s">
        <v>221</v>
      </c>
      <c r="D28" s="40"/>
      <c r="E28" s="23">
        <f t="shared" ref="E28:J28" ca="1" si="4">+E29+E30</f>
        <v>-9000</v>
      </c>
      <c r="F28" s="23">
        <f t="shared" ca="1" si="4"/>
        <v>-11016</v>
      </c>
      <c r="G28" s="23">
        <f t="shared" ca="1" si="4"/>
        <v>-13483.583999999999</v>
      </c>
      <c r="H28" s="23">
        <f t="shared" ca="1" si="4"/>
        <v>-16503.906815999999</v>
      </c>
      <c r="I28" s="23">
        <f t="shared" ca="1" si="4"/>
        <v>-20200.781942784</v>
      </c>
      <c r="J28" s="23">
        <f t="shared" ca="1" si="4"/>
        <v>-24725.757097967613</v>
      </c>
      <c r="K28" s="33"/>
    </row>
    <row r="29" spans="2:11" ht="17.25" customHeight="1" x14ac:dyDescent="0.2">
      <c r="B29" s="100" t="s">
        <v>192</v>
      </c>
      <c r="C29" s="106" t="s">
        <v>17</v>
      </c>
      <c r="D29" s="40"/>
      <c r="E29" s="23">
        <f ca="1">+'10. Anexo_Prejuízos fiscais'!E8</f>
        <v>-8400</v>
      </c>
      <c r="F29" s="23">
        <f ca="1">+'10. Anexo_Prejuízos fiscais'!F8</f>
        <v>-10281.6</v>
      </c>
      <c r="G29" s="23">
        <f ca="1">+'10. Anexo_Prejuízos fiscais'!G8</f>
        <v>-12584.678399999999</v>
      </c>
      <c r="H29" s="23">
        <f ca="1">+'10. Anexo_Prejuízos fiscais'!H8</f>
        <v>-15403.6463616</v>
      </c>
      <c r="I29" s="23">
        <f ca="1">+'10. Anexo_Prejuízos fiscais'!I8</f>
        <v>-18854.063146598401</v>
      </c>
      <c r="J29" s="23">
        <f ca="1">+'10. Anexo_Prejuízos fiscais'!J8</f>
        <v>-23077.373291436437</v>
      </c>
      <c r="K29" s="33"/>
    </row>
    <row r="30" spans="2:11" ht="17.25" customHeight="1" x14ac:dyDescent="0.2">
      <c r="B30" s="100" t="s">
        <v>192</v>
      </c>
      <c r="C30" s="106" t="s">
        <v>222</v>
      </c>
      <c r="D30" s="40"/>
      <c r="E30" s="23">
        <f ca="1">+'10. Anexo_Prejuízos fiscais'!E9</f>
        <v>-600</v>
      </c>
      <c r="F30" s="23">
        <f ca="1">+'10. Anexo_Prejuízos fiscais'!F9</f>
        <v>-734.4</v>
      </c>
      <c r="G30" s="23">
        <f ca="1">+'10. Anexo_Prejuízos fiscais'!G9</f>
        <v>-898.90559999999994</v>
      </c>
      <c r="H30" s="23">
        <f ca="1">+'10. Anexo_Prejuízos fiscais'!H9</f>
        <v>-1100.2604544000001</v>
      </c>
      <c r="I30" s="23">
        <f ca="1">+'10. Anexo_Prejuízos fiscais'!I9</f>
        <v>-1346.7187961856</v>
      </c>
      <c r="J30" s="23">
        <f ca="1">+'10. Anexo_Prejuízos fiscais'!J9</f>
        <v>-1648.3838065311743</v>
      </c>
      <c r="K30" s="33"/>
    </row>
    <row r="31" spans="2:11" ht="20.25" customHeight="1" x14ac:dyDescent="0.2">
      <c r="B31" s="104"/>
      <c r="C31" s="105" t="s">
        <v>100</v>
      </c>
      <c r="D31" s="60"/>
      <c r="E31" s="24">
        <f ca="1">+IFERROR(E27+E28,"")</f>
        <v>31000</v>
      </c>
      <c r="F31" s="24">
        <f t="shared" ref="F31:J31" ca="1" si="5">+IFERROR(F27+F28,"")</f>
        <v>37944</v>
      </c>
      <c r="G31" s="24">
        <f t="shared" ca="1" si="5"/>
        <v>46443.456000000006</v>
      </c>
      <c r="H31" s="24">
        <f t="shared" ca="1" si="5"/>
        <v>56846.790143999999</v>
      </c>
      <c r="I31" s="24">
        <f t="shared" ca="1" si="5"/>
        <v>69580.471136256005</v>
      </c>
      <c r="J31" s="24">
        <f t="shared" ca="1" si="5"/>
        <v>85166.496670777342</v>
      </c>
      <c r="K31" s="20"/>
    </row>
    <row r="32" spans="2:11" s="242" customFormat="1" ht="20.25" customHeight="1" x14ac:dyDescent="0.2">
      <c r="B32" s="480"/>
      <c r="C32" s="481"/>
      <c r="D32" s="410"/>
      <c r="E32" s="476"/>
      <c r="F32" s="476"/>
      <c r="G32" s="476"/>
      <c r="H32" s="476"/>
      <c r="I32" s="476"/>
      <c r="J32" s="476"/>
      <c r="K32" s="482"/>
    </row>
    <row r="33" spans="2:5" customFormat="1" ht="15" x14ac:dyDescent="0.25">
      <c r="B33" s="21"/>
      <c r="C33" s="684" t="s">
        <v>660</v>
      </c>
      <c r="D33" s="685"/>
      <c r="E33" s="7"/>
    </row>
    <row r="34" spans="2:5" customFormat="1" ht="15" x14ac:dyDescent="0.25">
      <c r="B34" s="21"/>
      <c r="D34" s="685"/>
      <c r="E34" s="7"/>
    </row>
    <row r="35" spans="2:5" customFormat="1" ht="15" x14ac:dyDescent="0.25">
      <c r="B35" s="21"/>
      <c r="D35" s="685"/>
      <c r="E35" s="7"/>
    </row>
    <row r="36" spans="2:5" customFormat="1" ht="15" x14ac:dyDescent="0.25">
      <c r="B36" s="21"/>
      <c r="D36" s="685"/>
      <c r="E36" s="7"/>
    </row>
    <row r="37" spans="2:5" customFormat="1" ht="15" x14ac:dyDescent="0.25">
      <c r="B37" s="21"/>
      <c r="D37" s="685"/>
      <c r="E37" s="7"/>
    </row>
  </sheetData>
  <sheetProtection algorithmName="SHA-512" hashValue="nkGQdLdloHvmBF/4QHneg9RiIbTFgyeMvFctAIgJWkGeZYhgXtYB3Dq2fRmZsbdm9/JQLKcJ3P+vvroBMLs8tg==" saltValue="/nGH/76NVlrau9kMCcWa1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93" zoomScaleNormal="93" workbookViewId="0">
      <pane xSplit="3" ySplit="4" topLeftCell="D5" activePane="bottomRight" state="frozen"/>
      <selection pane="topRight" activeCell="E1" sqref="E1"/>
      <selection pane="bottomLeft" activeCell="A5" sqref="A5"/>
      <selection pane="bottomRight" activeCell="C4" sqref="C3:C4"/>
    </sheetView>
  </sheetViews>
  <sheetFormatPr defaultColWidth="0" defaultRowHeight="0" customHeight="1" zeroHeight="1" x14ac:dyDescent="0.2"/>
  <cols>
    <col min="1" max="1" width="0.85546875" style="5" customWidth="1"/>
    <col min="2" max="2" width="5" style="5" customWidth="1"/>
    <col min="3" max="3" width="35.140625" style="5" customWidth="1"/>
    <col min="4" max="4" width="5.85546875" style="5" customWidth="1"/>
    <col min="5" max="10" width="12.85546875" style="239" customWidth="1"/>
    <col min="11" max="11" width="9.140625" style="5" customWidth="1"/>
    <col min="12" max="15" width="0" style="5" hidden="1" customWidth="1"/>
    <col min="16" max="16384" width="9.140625" style="5" hidden="1"/>
  </cols>
  <sheetData>
    <row r="1" spans="3:10" ht="12.75" x14ac:dyDescent="0.2">
      <c r="C1" s="55"/>
    </row>
    <row r="2" spans="3:10" s="654" customFormat="1" ht="18.75" customHeight="1" x14ac:dyDescent="0.25">
      <c r="C2" s="715" t="s">
        <v>684</v>
      </c>
      <c r="D2" s="716"/>
      <c r="E2" s="716"/>
      <c r="F2" s="716"/>
      <c r="G2" s="716"/>
      <c r="H2" s="716"/>
      <c r="I2" s="716"/>
      <c r="J2" s="716"/>
    </row>
    <row r="3" spans="3:10" ht="12.75" x14ac:dyDescent="0.2"/>
    <row r="4" spans="3:10" ht="13.5" thickBot="1" x14ac:dyDescent="0.25">
      <c r="C4" s="82" t="str">
        <f>+Capa!C13</f>
        <v>Gaming’Us</v>
      </c>
      <c r="D4" s="37"/>
      <c r="E4" s="268">
        <f>+AnoN</f>
        <v>2023</v>
      </c>
      <c r="F4" s="268">
        <f>+Pressupostos!H4</f>
        <v>2024</v>
      </c>
      <c r="G4" s="268">
        <f>+Pressupostos!I4</f>
        <v>2025</v>
      </c>
      <c r="H4" s="268">
        <f>+Pressupostos!J4</f>
        <v>2026</v>
      </c>
      <c r="I4" s="268">
        <f>+Pressupostos!K4</f>
        <v>2027</v>
      </c>
      <c r="J4" s="268">
        <f>+Pressupostos!L4</f>
        <v>2028</v>
      </c>
    </row>
    <row r="5" spans="3:10" s="446" customFormat="1" ht="6.75" customHeight="1" thickTop="1" x14ac:dyDescent="0.15">
      <c r="E5" s="447">
        <v>3</v>
      </c>
      <c r="F5" s="447">
        <f>+E5+1</f>
        <v>4</v>
      </c>
      <c r="G5" s="447">
        <f t="shared" ref="G5:J5" si="0">+F5+1</f>
        <v>5</v>
      </c>
      <c r="H5" s="447">
        <f t="shared" si="0"/>
        <v>6</v>
      </c>
      <c r="I5" s="447">
        <f t="shared" si="0"/>
        <v>7</v>
      </c>
      <c r="J5" s="447">
        <f t="shared" si="0"/>
        <v>8</v>
      </c>
    </row>
    <row r="6" spans="3:10" ht="17.25" customHeight="1" x14ac:dyDescent="0.2">
      <c r="C6" s="15" t="s">
        <v>3</v>
      </c>
      <c r="D6" s="133"/>
      <c r="E6" s="135"/>
      <c r="F6" s="135"/>
      <c r="G6" s="135"/>
      <c r="H6" s="135"/>
      <c r="I6" s="135"/>
      <c r="J6" s="136"/>
    </row>
    <row r="7" spans="3:10" ht="17.25" customHeight="1" x14ac:dyDescent="0.2">
      <c r="C7" s="247" t="s">
        <v>112</v>
      </c>
      <c r="D7" s="237"/>
      <c r="E7" s="245">
        <f t="shared" ref="E7:J7" si="1">+SUM(E8:E16)</f>
        <v>0</v>
      </c>
      <c r="F7" s="245">
        <f t="shared" si="1"/>
        <v>0</v>
      </c>
      <c r="G7" s="245">
        <f t="shared" si="1"/>
        <v>0</v>
      </c>
      <c r="H7" s="245">
        <f t="shared" si="1"/>
        <v>0</v>
      </c>
      <c r="I7" s="245">
        <f t="shared" si="1"/>
        <v>0</v>
      </c>
      <c r="J7" s="246">
        <f t="shared" si="1"/>
        <v>0</v>
      </c>
    </row>
    <row r="8" spans="3:10" ht="17.25" customHeight="1" x14ac:dyDescent="0.2">
      <c r="C8" s="58" t="s">
        <v>126</v>
      </c>
      <c r="D8" s="63"/>
      <c r="E8" s="29">
        <f>+'6. Investimento'!F22</f>
        <v>0</v>
      </c>
      <c r="F8" s="29">
        <f>+'6. Investimento'!G22</f>
        <v>0</v>
      </c>
      <c r="G8" s="29">
        <f>+'6. Investimento'!H22</f>
        <v>0</v>
      </c>
      <c r="H8" s="29">
        <f>+'6. Investimento'!I22</f>
        <v>0</v>
      </c>
      <c r="I8" s="29">
        <f>+'6. Investimento'!J22</f>
        <v>0</v>
      </c>
      <c r="J8" s="29">
        <f>+'6. Investimento'!K22</f>
        <v>0</v>
      </c>
    </row>
    <row r="9" spans="3:10" ht="12.75" hidden="1" x14ac:dyDescent="0.2">
      <c r="C9" s="58" t="s">
        <v>127</v>
      </c>
      <c r="D9" s="64"/>
      <c r="E9" s="29"/>
      <c r="F9" s="29"/>
      <c r="G9" s="29"/>
      <c r="H9" s="29"/>
      <c r="I9" s="29"/>
      <c r="J9" s="29"/>
    </row>
    <row r="10" spans="3:10" ht="12.75" hidden="1" x14ac:dyDescent="0.2">
      <c r="C10" s="58" t="s">
        <v>128</v>
      </c>
      <c r="D10" s="64"/>
      <c r="E10" s="29"/>
      <c r="F10" s="29"/>
      <c r="G10" s="29"/>
      <c r="H10" s="29"/>
      <c r="I10" s="29"/>
      <c r="J10" s="29"/>
    </row>
    <row r="11" spans="3:10" ht="17.25" customHeight="1" x14ac:dyDescent="0.2">
      <c r="C11" s="58" t="s">
        <v>129</v>
      </c>
      <c r="D11" s="64"/>
      <c r="E11" s="29">
        <f>+'6. Investimento'!F30</f>
        <v>0</v>
      </c>
      <c r="F11" s="29">
        <f>+'6. Investimento'!G30</f>
        <v>0</v>
      </c>
      <c r="G11" s="29">
        <f>+'6. Investimento'!H30</f>
        <v>0</v>
      </c>
      <c r="H11" s="29">
        <f>+'6. Investimento'!I30</f>
        <v>0</v>
      </c>
      <c r="I11" s="29">
        <f>+'6. Investimento'!J30</f>
        <v>0</v>
      </c>
      <c r="J11" s="29">
        <f>+'6. Investimento'!K30</f>
        <v>0</v>
      </c>
    </row>
    <row r="12" spans="3:10" ht="12.75" hidden="1" x14ac:dyDescent="0.2">
      <c r="C12" s="58" t="s">
        <v>130</v>
      </c>
      <c r="D12" s="64"/>
      <c r="E12" s="138"/>
      <c r="F12" s="138"/>
      <c r="G12" s="138"/>
      <c r="H12" s="138"/>
      <c r="I12" s="138"/>
      <c r="J12" s="138"/>
    </row>
    <row r="13" spans="3:10" ht="12.75" hidden="1" x14ac:dyDescent="0.2">
      <c r="C13" s="58" t="s">
        <v>131</v>
      </c>
      <c r="D13" s="64"/>
      <c r="E13" s="138"/>
      <c r="F13" s="138"/>
      <c r="G13" s="138"/>
      <c r="H13" s="138"/>
      <c r="I13" s="138"/>
      <c r="J13" s="138"/>
    </row>
    <row r="14" spans="3:10" ht="17.25" customHeight="1" x14ac:dyDescent="0.2">
      <c r="C14" s="58" t="s">
        <v>132</v>
      </c>
      <c r="D14" s="64"/>
      <c r="E14" s="138">
        <f>+D14+(Pressupostos!G$154+Pressupostos!G$164)*Pressupostos!$D$24</f>
        <v>0</v>
      </c>
      <c r="F14" s="138">
        <f>+E14+(Pressupostos!H$154+Pressupostos!H$164)*Pressupostos!$D$24</f>
        <v>0</v>
      </c>
      <c r="G14" s="138">
        <f>+F14+(Pressupostos!I$154+Pressupostos!I$164)*Pressupostos!$D$24</f>
        <v>0</v>
      </c>
      <c r="H14" s="138">
        <f>+G14+(Pressupostos!J$154+Pressupostos!J$164)*Pressupostos!$D$24</f>
        <v>0</v>
      </c>
      <c r="I14" s="138">
        <f>+H14+(Pressupostos!K$154+Pressupostos!K$164)*Pressupostos!$D$24</f>
        <v>0</v>
      </c>
      <c r="J14" s="138">
        <f>+I14+(Pressupostos!L$154+Pressupostos!L$164)*Pressupostos!$D$24</f>
        <v>0</v>
      </c>
    </row>
    <row r="15" spans="3:10" ht="12.75" hidden="1" x14ac:dyDescent="0.2">
      <c r="C15" s="58" t="s">
        <v>133</v>
      </c>
      <c r="D15" s="64"/>
      <c r="E15" s="138"/>
      <c r="F15" s="138"/>
      <c r="G15" s="138"/>
      <c r="H15" s="138"/>
      <c r="I15" s="138"/>
      <c r="J15" s="138"/>
    </row>
    <row r="16" spans="3:10" ht="12.75" hidden="1" x14ac:dyDescent="0.2">
      <c r="C16" s="58" t="s">
        <v>134</v>
      </c>
      <c r="D16" s="65"/>
      <c r="E16" s="138"/>
      <c r="F16" s="138"/>
      <c r="G16" s="138"/>
      <c r="H16" s="138"/>
      <c r="I16" s="138"/>
      <c r="J16" s="138"/>
    </row>
    <row r="17" spans="3:11" ht="17.25" customHeight="1" x14ac:dyDescent="0.2">
      <c r="C17" s="247" t="s">
        <v>115</v>
      </c>
      <c r="D17" s="237"/>
      <c r="E17" s="245">
        <f ca="1">+SUM(E18:E28)</f>
        <v>32533.333333333332</v>
      </c>
      <c r="F17" s="245">
        <f t="shared" ref="F17:J17" ca="1" si="2">+SUM(F18:F28)</f>
        <v>70820.800000000003</v>
      </c>
      <c r="G17" s="245">
        <f t="shared" ca="1" si="2"/>
        <v>117684.65920000001</v>
      </c>
      <c r="H17" s="245">
        <f t="shared" ca="1" si="2"/>
        <v>175046.0228608</v>
      </c>
      <c r="I17" s="245">
        <f t="shared" ca="1" si="2"/>
        <v>245256.33198161921</v>
      </c>
      <c r="J17" s="245">
        <f t="shared" ca="1" si="2"/>
        <v>331193.75034550193</v>
      </c>
    </row>
    <row r="18" spans="3:11" ht="17.25" customHeight="1" x14ac:dyDescent="0.2">
      <c r="C18" s="57" t="s">
        <v>20</v>
      </c>
      <c r="D18" s="64"/>
      <c r="E18" s="271">
        <f>+'5. Fundo de Maneio'!E8+'1.Demonstração de Resultados'!E14</f>
        <v>0</v>
      </c>
      <c r="F18" s="271">
        <f>+'5. Fundo de Maneio'!F8+'1.Demonstração de Resultados'!F14</f>
        <v>0</v>
      </c>
      <c r="G18" s="271">
        <f>+'5. Fundo de Maneio'!G8+'1.Demonstração de Resultados'!G14</f>
        <v>0</v>
      </c>
      <c r="H18" s="271">
        <f>+'5. Fundo de Maneio'!H8+'1.Demonstração de Resultados'!H14</f>
        <v>0</v>
      </c>
      <c r="I18" s="271">
        <f>+'5. Fundo de Maneio'!I8+'1.Demonstração de Resultados'!I14</f>
        <v>0</v>
      </c>
      <c r="J18" s="271">
        <f>+'5. Fundo de Maneio'!J8+'1.Demonstração de Resultados'!J14</f>
        <v>0</v>
      </c>
    </row>
    <row r="19" spans="3:11" ht="12.75" hidden="1" x14ac:dyDescent="0.2">
      <c r="C19" s="58" t="s">
        <v>130</v>
      </c>
      <c r="D19" s="64"/>
      <c r="E19" s="138"/>
      <c r="F19" s="138"/>
      <c r="G19" s="138"/>
      <c r="H19" s="138"/>
      <c r="I19" s="138"/>
      <c r="J19" s="138"/>
    </row>
    <row r="20" spans="3:11" ht="17.25" customHeight="1" x14ac:dyDescent="0.2">
      <c r="C20" s="58" t="s">
        <v>86</v>
      </c>
      <c r="D20" s="64"/>
      <c r="E20" s="138">
        <f>+'5. Fundo de Maneio'!E7+'1.Demonstração de Resultados'!E15</f>
        <v>0</v>
      </c>
      <c r="F20" s="138">
        <f>+'5. Fundo de Maneio'!F7+'1.Demonstração de Resultados'!F15</f>
        <v>0</v>
      </c>
      <c r="G20" s="138">
        <f>+'5. Fundo de Maneio'!G7+'1.Demonstração de Resultados'!G15</f>
        <v>0</v>
      </c>
      <c r="H20" s="138">
        <f>+'5. Fundo de Maneio'!H7+'1.Demonstração de Resultados'!H15</f>
        <v>0</v>
      </c>
      <c r="I20" s="138">
        <f>+'5. Fundo de Maneio'!I7+'1.Demonstração de Resultados'!I15</f>
        <v>0</v>
      </c>
      <c r="J20" s="138">
        <f>+'5. Fundo de Maneio'!J7+'1.Demonstração de Resultados'!J15</f>
        <v>0</v>
      </c>
    </row>
    <row r="21" spans="3:11" ht="17.25" customHeight="1" x14ac:dyDescent="0.2">
      <c r="C21" s="58" t="s">
        <v>116</v>
      </c>
      <c r="D21" s="64"/>
      <c r="E21" s="138">
        <f>+'5. Fundo de Maneio'!E9</f>
        <v>0</v>
      </c>
      <c r="F21" s="138">
        <f>+'5. Fundo de Maneio'!F9</f>
        <v>0</v>
      </c>
      <c r="G21" s="138">
        <f>+'5. Fundo de Maneio'!G9</f>
        <v>0</v>
      </c>
      <c r="H21" s="138">
        <f>+'5. Fundo de Maneio'!H9</f>
        <v>0</v>
      </c>
      <c r="I21" s="138">
        <f>+'5. Fundo de Maneio'!I9</f>
        <v>0</v>
      </c>
      <c r="J21" s="138">
        <f>+'5. Fundo de Maneio'!J9</f>
        <v>0</v>
      </c>
    </row>
    <row r="22" spans="3:11" ht="12.75" hidden="1" x14ac:dyDescent="0.2">
      <c r="C22" s="58" t="s">
        <v>135</v>
      </c>
      <c r="D22" s="65"/>
      <c r="E22" s="138"/>
      <c r="F22" s="138"/>
      <c r="G22" s="138"/>
      <c r="H22" s="138"/>
      <c r="I22" s="138"/>
      <c r="J22" s="138"/>
    </row>
    <row r="23" spans="3:11" ht="12.75" hidden="1" x14ac:dyDescent="0.2">
      <c r="C23" s="58" t="s">
        <v>117</v>
      </c>
      <c r="D23" s="63"/>
      <c r="E23" s="138"/>
      <c r="F23" s="138"/>
      <c r="G23" s="138"/>
      <c r="H23" s="138"/>
      <c r="I23" s="138"/>
      <c r="J23" s="138"/>
    </row>
    <row r="24" spans="3:11" ht="12.75" hidden="1" x14ac:dyDescent="0.2">
      <c r="C24" s="58" t="s">
        <v>118</v>
      </c>
      <c r="D24" s="64"/>
      <c r="E24" s="138"/>
      <c r="F24" s="138"/>
      <c r="G24" s="138"/>
      <c r="H24" s="138"/>
      <c r="I24" s="138"/>
      <c r="J24" s="138"/>
    </row>
    <row r="25" spans="3:11" ht="12.75" hidden="1" x14ac:dyDescent="0.2">
      <c r="C25" s="58" t="s">
        <v>136</v>
      </c>
      <c r="D25" s="64"/>
      <c r="E25" s="138"/>
      <c r="F25" s="138"/>
      <c r="G25" s="138"/>
      <c r="H25" s="138"/>
      <c r="I25" s="138"/>
      <c r="J25" s="138"/>
    </row>
    <row r="26" spans="3:11" ht="12.75" hidden="1" x14ac:dyDescent="0.2">
      <c r="C26" s="58" t="s">
        <v>137</v>
      </c>
      <c r="D26" s="63"/>
      <c r="E26" s="138"/>
      <c r="F26" s="138"/>
      <c r="G26" s="138"/>
      <c r="H26" s="138"/>
      <c r="I26" s="138"/>
      <c r="J26" s="138"/>
    </row>
    <row r="27" spans="3:11" ht="12.75" hidden="1" x14ac:dyDescent="0.2">
      <c r="C27" s="58" t="s">
        <v>138</v>
      </c>
      <c r="D27" s="64"/>
      <c r="E27" s="138"/>
      <c r="F27" s="138"/>
      <c r="G27" s="138"/>
      <c r="H27" s="138"/>
      <c r="I27" s="138"/>
      <c r="J27" s="138"/>
    </row>
    <row r="28" spans="3:11" ht="17.25" customHeight="1" x14ac:dyDescent="0.2">
      <c r="C28" s="58" t="s">
        <v>367</v>
      </c>
      <c r="D28" s="64"/>
      <c r="E28" s="279">
        <f ca="1">+'8. Mapa de tesouraria'!E58+'8. Mapa de tesouraria'!E60</f>
        <v>32533.333333333332</v>
      </c>
      <c r="F28" s="279">
        <f ca="1">+'8. Mapa de tesouraria'!F58+'8. Mapa de tesouraria'!F60</f>
        <v>70820.800000000003</v>
      </c>
      <c r="G28" s="279">
        <f ca="1">+'8. Mapa de tesouraria'!G58+'8. Mapa de tesouraria'!G60</f>
        <v>117684.65920000001</v>
      </c>
      <c r="H28" s="279">
        <f ca="1">+'8. Mapa de tesouraria'!H58+'8. Mapa de tesouraria'!H60</f>
        <v>175046.0228608</v>
      </c>
      <c r="I28" s="279">
        <f ca="1">+'8. Mapa de tesouraria'!I58+'8. Mapa de tesouraria'!I60</f>
        <v>245256.33198161921</v>
      </c>
      <c r="J28" s="279">
        <f ca="1">+'8. Mapa de tesouraria'!J58+'8. Mapa de tesouraria'!J60</f>
        <v>331193.75034550193</v>
      </c>
    </row>
    <row r="29" spans="3:11" ht="17.25" customHeight="1" x14ac:dyDescent="0.2">
      <c r="C29" s="244" t="s">
        <v>139</v>
      </c>
      <c r="D29" s="133"/>
      <c r="E29" s="137">
        <f t="shared" ref="E29:J29" ca="1" si="3">+E17+E7</f>
        <v>32533.333333333332</v>
      </c>
      <c r="F29" s="137">
        <f t="shared" ca="1" si="3"/>
        <v>70820.800000000003</v>
      </c>
      <c r="G29" s="137">
        <f t="shared" ca="1" si="3"/>
        <v>117684.65920000001</v>
      </c>
      <c r="H29" s="137">
        <f t="shared" ca="1" si="3"/>
        <v>175046.0228608</v>
      </c>
      <c r="I29" s="137">
        <f t="shared" ca="1" si="3"/>
        <v>245256.33198161921</v>
      </c>
      <c r="J29" s="137">
        <f t="shared" ca="1" si="3"/>
        <v>331193.75034550193</v>
      </c>
    </row>
    <row r="30" spans="3:11" ht="17.25" customHeight="1" x14ac:dyDescent="0.2">
      <c r="C30" s="18" t="s">
        <v>4</v>
      </c>
      <c r="D30" s="60"/>
      <c r="E30" s="245">
        <f ca="1">+SUM(E31:E36)</f>
        <v>31000</v>
      </c>
      <c r="F30" s="245">
        <f t="shared" ref="F30:J30" ca="1" si="4">+SUM(F31:F36)</f>
        <v>68944</v>
      </c>
      <c r="G30" s="245">
        <f t="shared" ca="1" si="4"/>
        <v>115387.45600000001</v>
      </c>
      <c r="H30" s="245">
        <f t="shared" ca="1" si="4"/>
        <v>172234.246144</v>
      </c>
      <c r="I30" s="245">
        <f t="shared" ca="1" si="4"/>
        <v>241814.71728025601</v>
      </c>
      <c r="J30" s="245">
        <f t="shared" ca="1" si="4"/>
        <v>326981.21395103337</v>
      </c>
      <c r="K30" s="325"/>
    </row>
    <row r="31" spans="3:11" s="242" customFormat="1" ht="17.25" customHeight="1" x14ac:dyDescent="0.2">
      <c r="C31" s="277" t="s">
        <v>232</v>
      </c>
      <c r="D31" s="280"/>
      <c r="E31" s="279">
        <f>+'9. Capital Próprio'!E8</f>
        <v>0</v>
      </c>
      <c r="F31" s="279">
        <f>+'9. Capital Próprio'!F8</f>
        <v>0</v>
      </c>
      <c r="G31" s="279">
        <f>+'9. Capital Próprio'!G8</f>
        <v>0</v>
      </c>
      <c r="H31" s="279">
        <f>+'9. Capital Próprio'!H8</f>
        <v>0</v>
      </c>
      <c r="I31" s="279">
        <f>+'9. Capital Próprio'!I8</f>
        <v>0</v>
      </c>
      <c r="J31" s="279">
        <f>+'9. Capital Próprio'!J8</f>
        <v>0</v>
      </c>
    </row>
    <row r="32" spans="3:11" s="242" customFormat="1" ht="17.25" customHeight="1" x14ac:dyDescent="0.2">
      <c r="C32" s="277" t="s">
        <v>236</v>
      </c>
      <c r="D32" s="50"/>
      <c r="E32" s="279">
        <f>+'9. Capital Próprio'!E9</f>
        <v>0</v>
      </c>
      <c r="F32" s="279">
        <f>+'9. Capital Próprio'!F9</f>
        <v>0</v>
      </c>
      <c r="G32" s="279">
        <f>+'9. Capital Próprio'!G9</f>
        <v>0</v>
      </c>
      <c r="H32" s="279">
        <f>+'9. Capital Próprio'!H9</f>
        <v>0</v>
      </c>
      <c r="I32" s="279">
        <f>+'9. Capital Próprio'!I9</f>
        <v>0</v>
      </c>
      <c r="J32" s="279">
        <f>+'9. Capital Próprio'!J9</f>
        <v>0</v>
      </c>
    </row>
    <row r="33" spans="3:10" ht="17.25" customHeight="1" x14ac:dyDescent="0.2">
      <c r="C33" s="58" t="s">
        <v>241</v>
      </c>
      <c r="D33" s="64"/>
      <c r="E33" s="269">
        <f>+'9. Capital Próprio'!E11</f>
        <v>0</v>
      </c>
      <c r="F33" s="138">
        <f ca="1">+'9. Capital Próprio'!F11</f>
        <v>31000</v>
      </c>
      <c r="G33" s="138">
        <f ca="1">+'9. Capital Próprio'!G11</f>
        <v>68944</v>
      </c>
      <c r="H33" s="138">
        <f ca="1">+'9. Capital Próprio'!H11</f>
        <v>115387.45600000001</v>
      </c>
      <c r="I33" s="138">
        <f ca="1">+'9. Capital Próprio'!I11</f>
        <v>172234.246144</v>
      </c>
      <c r="J33" s="138">
        <f ca="1">+'9. Capital Próprio'!J11</f>
        <v>241814.71728025601</v>
      </c>
    </row>
    <row r="34" spans="3:10" ht="17.25" customHeight="1" x14ac:dyDescent="0.2">
      <c r="C34" s="58" t="s">
        <v>148</v>
      </c>
      <c r="D34" s="64"/>
      <c r="E34" s="269">
        <f>+'9. Capital Próprio'!E13+D34</f>
        <v>0</v>
      </c>
      <c r="F34" s="269">
        <f ca="1">+'9. Capital Próprio'!F13+E34</f>
        <v>0</v>
      </c>
      <c r="G34" s="269">
        <f ca="1">+'9. Capital Próprio'!G13+F34</f>
        <v>0</v>
      </c>
      <c r="H34" s="269">
        <f ca="1">+'9. Capital Próprio'!H13+G34</f>
        <v>0</v>
      </c>
      <c r="I34" s="269">
        <f ca="1">+'9. Capital Próprio'!I13+H34</f>
        <v>0</v>
      </c>
      <c r="J34" s="269">
        <f ca="1">+'9. Capital Próprio'!J13+I34</f>
        <v>0</v>
      </c>
    </row>
    <row r="35" spans="3:10" s="242" customFormat="1" ht="17.25" customHeight="1" x14ac:dyDescent="0.2">
      <c r="C35" s="277" t="s">
        <v>242</v>
      </c>
      <c r="D35" s="50"/>
      <c r="E35" s="278">
        <f ca="1">+'9. Capital Próprio'!E10</f>
        <v>31000</v>
      </c>
      <c r="F35" s="279">
        <f ca="1">+'9. Capital Próprio'!F10</f>
        <v>37944</v>
      </c>
      <c r="G35" s="279">
        <f ca="1">+'9. Capital Próprio'!G10</f>
        <v>46443.456000000006</v>
      </c>
      <c r="H35" s="279">
        <f ca="1">+'9. Capital Próprio'!H10</f>
        <v>56846.790143999999</v>
      </c>
      <c r="I35" s="279">
        <f ca="1">+'9. Capital Próprio'!I10</f>
        <v>69580.471136256005</v>
      </c>
      <c r="J35" s="279">
        <f ca="1">+'9. Capital Próprio'!J10</f>
        <v>85166.496670777342</v>
      </c>
    </row>
    <row r="36" spans="3:10" s="242" customFormat="1" ht="17.25" customHeight="1" x14ac:dyDescent="0.2">
      <c r="C36" s="277" t="s">
        <v>567</v>
      </c>
      <c r="D36" s="50"/>
      <c r="E36" s="278">
        <f>+'9. Capital Próprio'!E14</f>
        <v>0</v>
      </c>
      <c r="F36" s="278">
        <f>+'9. Capital Próprio'!F14</f>
        <v>0</v>
      </c>
      <c r="G36" s="278">
        <f>+'9. Capital Próprio'!G14</f>
        <v>0</v>
      </c>
      <c r="H36" s="278">
        <f>+'9. Capital Próprio'!H14</f>
        <v>0</v>
      </c>
      <c r="I36" s="278">
        <f>+'9. Capital Próprio'!I14</f>
        <v>0</v>
      </c>
      <c r="J36" s="278">
        <f>+'9. Capital Próprio'!J14</f>
        <v>0</v>
      </c>
    </row>
    <row r="37" spans="3:10" ht="17.25" customHeight="1" x14ac:dyDescent="0.2">
      <c r="C37" s="15" t="s">
        <v>5</v>
      </c>
      <c r="D37" s="133"/>
      <c r="E37" s="137"/>
      <c r="F37" s="137"/>
      <c r="G37" s="137"/>
      <c r="H37" s="137"/>
      <c r="I37" s="137"/>
      <c r="J37" s="139"/>
    </row>
    <row r="38" spans="3:10" ht="17.25" customHeight="1" x14ac:dyDescent="0.2">
      <c r="C38" s="247" t="s">
        <v>113</v>
      </c>
      <c r="D38" s="237"/>
      <c r="E38" s="245">
        <f t="shared" ref="E38:I38" ca="1" si="5">+SUM(E39:E43)</f>
        <v>0</v>
      </c>
      <c r="F38" s="245">
        <f t="shared" ca="1" si="5"/>
        <v>0</v>
      </c>
      <c r="G38" s="245">
        <f t="shared" ca="1" si="5"/>
        <v>0</v>
      </c>
      <c r="H38" s="245">
        <f t="shared" ca="1" si="5"/>
        <v>0</v>
      </c>
      <c r="I38" s="245">
        <f t="shared" ca="1" si="5"/>
        <v>0</v>
      </c>
      <c r="J38" s="245">
        <f ca="1">+SUM(J39:J43)</f>
        <v>0</v>
      </c>
    </row>
    <row r="39" spans="3:10" ht="12.75" hidden="1" x14ac:dyDescent="0.2">
      <c r="C39" s="57" t="s">
        <v>140</v>
      </c>
      <c r="D39" s="64"/>
      <c r="E39" s="271"/>
      <c r="F39" s="271"/>
      <c r="G39" s="271"/>
      <c r="H39" s="271"/>
      <c r="I39" s="271"/>
      <c r="J39" s="271"/>
    </row>
    <row r="40" spans="3:10" ht="17.25" customHeight="1" x14ac:dyDescent="0.2">
      <c r="C40" s="58" t="s">
        <v>368</v>
      </c>
      <c r="D40" s="64"/>
      <c r="E40" s="29">
        <f ca="1">+'7. Serviço da Dívida'!E6-'2. Balanço'!E48</f>
        <v>0</v>
      </c>
      <c r="F40" s="29">
        <f ca="1">+'7. Serviço da Dívida'!F6-'2. Balanço'!F48</f>
        <v>0</v>
      </c>
      <c r="G40" s="29">
        <f ca="1">+'7. Serviço da Dívida'!G6-'2. Balanço'!G48</f>
        <v>0</v>
      </c>
      <c r="H40" s="29">
        <f ca="1">+'7. Serviço da Dívida'!H6-'2. Balanço'!H48</f>
        <v>0</v>
      </c>
      <c r="I40" s="29">
        <f ca="1">+'7. Serviço da Dívida'!I6-'2. Balanço'!I48</f>
        <v>0</v>
      </c>
      <c r="J40" s="29">
        <f ca="1">+'7. Serviço da Dívida'!J6-'2. Balanço'!J48</f>
        <v>0</v>
      </c>
    </row>
    <row r="41" spans="3:10" ht="12.75" hidden="1" x14ac:dyDescent="0.2">
      <c r="C41" s="58" t="s">
        <v>142</v>
      </c>
      <c r="D41" s="64"/>
      <c r="E41" s="138"/>
      <c r="F41" s="138"/>
      <c r="G41" s="138"/>
      <c r="H41" s="138"/>
      <c r="I41" s="138"/>
      <c r="J41" s="138"/>
    </row>
    <row r="42" spans="3:10" ht="12.75" hidden="1" x14ac:dyDescent="0.2">
      <c r="C42" s="58" t="s">
        <v>143</v>
      </c>
      <c r="D42" s="64"/>
      <c r="E42" s="138"/>
      <c r="F42" s="138"/>
      <c r="G42" s="138"/>
      <c r="H42" s="138"/>
      <c r="I42" s="138"/>
      <c r="J42" s="138"/>
    </row>
    <row r="43" spans="3:10" ht="12.75" hidden="1" x14ac:dyDescent="0.2">
      <c r="C43" s="58" t="s">
        <v>119</v>
      </c>
      <c r="D43" s="65"/>
      <c r="E43" s="138"/>
      <c r="F43" s="138"/>
      <c r="G43" s="138"/>
      <c r="H43" s="138"/>
      <c r="I43" s="138"/>
      <c r="J43" s="138"/>
    </row>
    <row r="44" spans="3:10" ht="17.25" customHeight="1" x14ac:dyDescent="0.2">
      <c r="C44" s="247" t="s">
        <v>114</v>
      </c>
      <c r="D44" s="237"/>
      <c r="E44" s="245">
        <f t="shared" ref="E44:J44" ca="1" si="6">+SUM(E45:E53)</f>
        <v>1533.3333333333333</v>
      </c>
      <c r="F44" s="245">
        <f t="shared" ca="1" si="6"/>
        <v>1876.8000000000002</v>
      </c>
      <c r="G44" s="245">
        <f t="shared" ca="1" si="6"/>
        <v>2297.2032000000004</v>
      </c>
      <c r="H44" s="245">
        <f t="shared" ca="1" si="6"/>
        <v>2811.7767168000005</v>
      </c>
      <c r="I44" s="245">
        <f t="shared" ca="1" si="6"/>
        <v>3441.6147013632003</v>
      </c>
      <c r="J44" s="246">
        <f t="shared" ca="1" si="6"/>
        <v>4212.5363944685569</v>
      </c>
    </row>
    <row r="45" spans="3:10" ht="17.25" customHeight="1" x14ac:dyDescent="0.2">
      <c r="C45" s="57" t="s">
        <v>0</v>
      </c>
      <c r="D45" s="64"/>
      <c r="E45" s="271">
        <f>+'5. Fundo de Maneio'!E15</f>
        <v>0</v>
      </c>
      <c r="F45" s="271">
        <f>+'5. Fundo de Maneio'!F15</f>
        <v>0</v>
      </c>
      <c r="G45" s="271">
        <f>+'5. Fundo de Maneio'!G15</f>
        <v>0</v>
      </c>
      <c r="H45" s="271">
        <f>+'5. Fundo de Maneio'!H15</f>
        <v>0</v>
      </c>
      <c r="I45" s="271">
        <f>+'5. Fundo de Maneio'!I15</f>
        <v>0</v>
      </c>
      <c r="J45" s="271">
        <f>+'5. Fundo de Maneio'!J15</f>
        <v>0</v>
      </c>
    </row>
    <row r="46" spans="3:10" ht="12.75" hidden="1" x14ac:dyDescent="0.2">
      <c r="C46" s="58" t="s">
        <v>144</v>
      </c>
      <c r="D46" s="64"/>
      <c r="E46" s="138"/>
      <c r="F46" s="138"/>
      <c r="G46" s="138"/>
      <c r="H46" s="138"/>
      <c r="I46" s="138"/>
      <c r="J46" s="138"/>
    </row>
    <row r="47" spans="3:10" ht="17.25" customHeight="1" x14ac:dyDescent="0.2">
      <c r="C47" s="58" t="s">
        <v>116</v>
      </c>
      <c r="D47" s="64"/>
      <c r="E47" s="138">
        <f>+'5. Fundo de Maneio'!E16</f>
        <v>1533.3333333333333</v>
      </c>
      <c r="F47" s="138">
        <f>+'5. Fundo de Maneio'!F16</f>
        <v>1876.8000000000002</v>
      </c>
      <c r="G47" s="138">
        <f>+'5. Fundo de Maneio'!G16</f>
        <v>2297.2032000000004</v>
      </c>
      <c r="H47" s="138">
        <f>+'5. Fundo de Maneio'!H16</f>
        <v>2811.7767168000005</v>
      </c>
      <c r="I47" s="138">
        <f>+'5. Fundo de Maneio'!I16</f>
        <v>3441.6147013632003</v>
      </c>
      <c r="J47" s="138">
        <f>+'5. Fundo de Maneio'!J16</f>
        <v>4212.5363944685569</v>
      </c>
    </row>
    <row r="48" spans="3:10" ht="16.5" customHeight="1" x14ac:dyDescent="0.2">
      <c r="C48" s="58" t="s">
        <v>354</v>
      </c>
      <c r="D48" s="64"/>
      <c r="E48" s="279">
        <f ca="1">+'7. Serviço da Dívida'!E8+'7. Serviço da Dívida'!F9</f>
        <v>0</v>
      </c>
      <c r="F48" s="279">
        <f ca="1">+'7. Serviço da Dívida'!F8+'7. Serviço da Dívida'!G9</f>
        <v>0</v>
      </c>
      <c r="G48" s="279">
        <f ca="1">+'7. Serviço da Dívida'!G8+'7. Serviço da Dívida'!H9</f>
        <v>0</v>
      </c>
      <c r="H48" s="279">
        <f ca="1">+'7. Serviço da Dívida'!H8+'7. Serviço da Dívida'!I9</f>
        <v>0</v>
      </c>
      <c r="I48" s="279">
        <f ca="1">+'7. Serviço da Dívida'!I8+'7. Serviço da Dívida'!J9</f>
        <v>0</v>
      </c>
      <c r="J48" s="279">
        <f ca="1">+'7. Serviço da Dívida'!J8+'7. Serviço da Dívida'!K9</f>
        <v>0</v>
      </c>
    </row>
    <row r="49" spans="2:10" ht="16.5" customHeight="1" x14ac:dyDescent="0.2">
      <c r="C49" s="58" t="s">
        <v>119</v>
      </c>
      <c r="D49" s="65"/>
      <c r="E49" s="138">
        <f>-(+Pressupostos!G252-Pressupostos!G253+Pressupostos!G256-Pressupostos!G252)</f>
        <v>0</v>
      </c>
      <c r="F49" s="138">
        <f>-(+Pressupostos!H252-Pressupostos!H253+Pressupostos!H256-Pressupostos!H252)+E49</f>
        <v>0</v>
      </c>
      <c r="G49" s="138">
        <f>-(+Pressupostos!I252-Pressupostos!I253+Pressupostos!I256-Pressupostos!I252)+F49</f>
        <v>0</v>
      </c>
      <c r="H49" s="138">
        <f>-(+Pressupostos!J252-Pressupostos!J253+Pressupostos!J256-Pressupostos!J252)+G49</f>
        <v>0</v>
      </c>
      <c r="I49" s="138">
        <f>-(+Pressupostos!K252-Pressupostos!K253+Pressupostos!K256-Pressupostos!K252)+H49</f>
        <v>0</v>
      </c>
      <c r="J49" s="138">
        <f>-(+Pressupostos!L252-Pressupostos!L253+Pressupostos!L256-Pressupostos!L252)+I49</f>
        <v>0</v>
      </c>
    </row>
    <row r="50" spans="2:10" ht="12.75" hidden="1" x14ac:dyDescent="0.2">
      <c r="C50" s="58" t="s">
        <v>118</v>
      </c>
      <c r="D50" s="64"/>
      <c r="E50" s="138"/>
      <c r="F50" s="138"/>
      <c r="G50" s="138"/>
      <c r="H50" s="138"/>
      <c r="I50" s="138"/>
      <c r="J50" s="138"/>
    </row>
    <row r="51" spans="2:10" ht="12.75" hidden="1" x14ac:dyDescent="0.2">
      <c r="C51" s="58" t="s">
        <v>145</v>
      </c>
      <c r="D51" s="64"/>
      <c r="E51" s="138"/>
      <c r="F51" s="138"/>
      <c r="G51" s="138"/>
      <c r="H51" s="138"/>
      <c r="I51" s="138"/>
      <c r="J51" s="138"/>
    </row>
    <row r="52" spans="2:10" ht="12.75" hidden="1" x14ac:dyDescent="0.2">
      <c r="C52" s="58" t="s">
        <v>147</v>
      </c>
      <c r="D52" s="63"/>
      <c r="E52" s="138"/>
      <c r="F52" s="138"/>
      <c r="G52" s="138"/>
      <c r="H52" s="138"/>
      <c r="I52" s="138"/>
      <c r="J52" s="138"/>
    </row>
    <row r="53" spans="2:10" ht="12.75" hidden="1" x14ac:dyDescent="0.2">
      <c r="C53" s="58" t="s">
        <v>146</v>
      </c>
      <c r="D53" s="64"/>
      <c r="E53" s="138"/>
      <c r="F53" s="138"/>
      <c r="G53" s="138"/>
      <c r="H53" s="138"/>
      <c r="I53" s="138"/>
      <c r="J53" s="138"/>
    </row>
    <row r="54" spans="2:10" ht="17.25" customHeight="1" x14ac:dyDescent="0.2">
      <c r="C54" s="16" t="s">
        <v>26</v>
      </c>
      <c r="D54" s="140"/>
      <c r="E54" s="272">
        <f ca="1">+E38+E44</f>
        <v>1533.3333333333333</v>
      </c>
      <c r="F54" s="272">
        <f t="shared" ref="F54:I54" ca="1" si="7">+F38+F44</f>
        <v>1876.8000000000002</v>
      </c>
      <c r="G54" s="272">
        <f t="shared" ca="1" si="7"/>
        <v>2297.2032000000004</v>
      </c>
      <c r="H54" s="272">
        <f t="shared" ca="1" si="7"/>
        <v>2811.7767168000005</v>
      </c>
      <c r="I54" s="272">
        <f t="shared" ca="1" si="7"/>
        <v>3441.6147013632003</v>
      </c>
      <c r="J54" s="272">
        <f t="shared" ref="J54" ca="1" si="8">+J38+J44</f>
        <v>4212.5363944685569</v>
      </c>
    </row>
    <row r="55" spans="2:10" ht="17.25" customHeight="1" x14ac:dyDescent="0.2">
      <c r="C55" s="16" t="s">
        <v>27</v>
      </c>
      <c r="D55" s="141"/>
      <c r="E55" s="272">
        <f t="shared" ref="E55:I55" ca="1" si="9">+E54+E30</f>
        <v>32533.333333333332</v>
      </c>
      <c r="F55" s="272">
        <f t="shared" ca="1" si="9"/>
        <v>70820.800000000003</v>
      </c>
      <c r="G55" s="272">
        <f t="shared" ca="1" si="9"/>
        <v>117684.65920000001</v>
      </c>
      <c r="H55" s="272">
        <f t="shared" ca="1" si="9"/>
        <v>175046.0228608</v>
      </c>
      <c r="I55" s="272">
        <f t="shared" ca="1" si="9"/>
        <v>245256.33198161921</v>
      </c>
      <c r="J55" s="272">
        <f t="shared" ref="J55" ca="1" si="10">+J54+J30</f>
        <v>331193.75034550193</v>
      </c>
    </row>
    <row r="56" spans="2:10" ht="16.5" customHeight="1" x14ac:dyDescent="0.2">
      <c r="E56" s="270">
        <f t="shared" ref="E56:J56" ca="1" si="11">+E55-E29</f>
        <v>0</v>
      </c>
      <c r="F56" s="270">
        <f t="shared" ca="1" si="11"/>
        <v>0</v>
      </c>
      <c r="G56" s="270">
        <f t="shared" ca="1" si="11"/>
        <v>0</v>
      </c>
      <c r="H56" s="270">
        <f t="shared" ca="1" si="11"/>
        <v>0</v>
      </c>
      <c r="I56" s="270">
        <f t="shared" ca="1" si="11"/>
        <v>0</v>
      </c>
      <c r="J56" s="270">
        <f t="shared" ca="1" si="11"/>
        <v>0</v>
      </c>
    </row>
    <row r="57" spans="2:10" ht="16.5" customHeight="1" x14ac:dyDescent="0.2">
      <c r="I57" s="660"/>
      <c r="J57" s="660"/>
    </row>
    <row r="58" spans="2:10" customFormat="1" ht="15" x14ac:dyDescent="0.25">
      <c r="B58" s="21"/>
      <c r="C58" s="684" t="s">
        <v>660</v>
      </c>
      <c r="D58" s="685"/>
      <c r="E58" s="7"/>
    </row>
    <row r="59" spans="2:10" customFormat="1" ht="15" x14ac:dyDescent="0.25">
      <c r="B59" s="21"/>
      <c r="D59" s="685"/>
      <c r="E59" s="7"/>
    </row>
    <row r="60" spans="2:10" customFormat="1" ht="15" x14ac:dyDescent="0.25">
      <c r="B60" s="21"/>
      <c r="D60" s="685"/>
      <c r="E60" s="7"/>
    </row>
    <row r="61" spans="2:10" customFormat="1" ht="15" x14ac:dyDescent="0.25">
      <c r="B61" s="21"/>
      <c r="D61" s="685"/>
      <c r="E61" s="7"/>
    </row>
    <row r="62" spans="2:10" ht="16.5" customHeight="1" x14ac:dyDescent="0.2"/>
    <row r="63" spans="2:10" ht="0" hidden="1" customHeight="1" x14ac:dyDescent="0.2">
      <c r="C63" s="58" t="s">
        <v>44</v>
      </c>
      <c r="D63" s="109"/>
      <c r="E63" s="273"/>
      <c r="F63" s="273"/>
      <c r="G63" s="273"/>
      <c r="H63" s="273"/>
      <c r="I63" s="273"/>
      <c r="J63" s="273"/>
    </row>
    <row r="64" spans="2:10" ht="0" hidden="1" customHeight="1" x14ac:dyDescent="0.2">
      <c r="C64" s="58" t="s">
        <v>45</v>
      </c>
      <c r="D64" s="40"/>
      <c r="E64" s="273"/>
      <c r="F64" s="273"/>
      <c r="G64" s="273"/>
      <c r="H64" s="273"/>
      <c r="I64" s="273"/>
      <c r="J64" s="273"/>
    </row>
    <row r="65" spans="3:10" ht="0" hidden="1" customHeight="1" x14ac:dyDescent="0.2">
      <c r="C65" s="58" t="s">
        <v>42</v>
      </c>
      <c r="D65" s="40"/>
      <c r="E65" s="273"/>
      <c r="F65" s="273"/>
      <c r="G65" s="273"/>
      <c r="H65" s="273"/>
      <c r="I65" s="273"/>
      <c r="J65" s="273"/>
    </row>
    <row r="66" spans="3:10" ht="0" hidden="1" customHeight="1" x14ac:dyDescent="0.2">
      <c r="C66" s="128" t="s">
        <v>68</v>
      </c>
      <c r="D66" s="109"/>
      <c r="E66" s="274"/>
      <c r="F66" s="274"/>
      <c r="G66" s="274"/>
      <c r="H66" s="274"/>
      <c r="I66" s="274"/>
      <c r="J66" s="275"/>
    </row>
    <row r="67" spans="3:10" ht="0" hidden="1" customHeight="1" x14ac:dyDescent="0.2">
      <c r="C67" s="58" t="s">
        <v>43</v>
      </c>
      <c r="D67" s="40"/>
      <c r="E67" s="273"/>
      <c r="F67" s="273"/>
      <c r="G67" s="273"/>
      <c r="H67" s="273"/>
      <c r="I67" s="273"/>
      <c r="J67" s="273"/>
    </row>
    <row r="68" spans="3:10" ht="0" hidden="1" customHeight="1" x14ac:dyDescent="0.2">
      <c r="C68" s="58" t="s">
        <v>14</v>
      </c>
      <c r="D68" s="40"/>
      <c r="E68" s="273"/>
      <c r="F68" s="273"/>
      <c r="G68" s="273"/>
      <c r="H68" s="273"/>
      <c r="I68" s="273"/>
      <c r="J68" s="273"/>
    </row>
    <row r="69" spans="3:10" ht="0" hidden="1" customHeight="1" x14ac:dyDescent="0.2">
      <c r="C69" s="58" t="s">
        <v>44</v>
      </c>
      <c r="D69" s="109"/>
      <c r="E69" s="273"/>
      <c r="F69" s="273"/>
      <c r="G69" s="273"/>
      <c r="H69" s="273"/>
      <c r="I69" s="273"/>
      <c r="J69" s="273"/>
    </row>
    <row r="70" spans="3:10" ht="0" hidden="1" customHeight="1" x14ac:dyDescent="0.2">
      <c r="C70" s="58" t="s">
        <v>45</v>
      </c>
      <c r="D70" s="40"/>
      <c r="E70" s="273"/>
      <c r="F70" s="273"/>
      <c r="G70" s="273"/>
      <c r="H70" s="273"/>
      <c r="I70" s="273"/>
      <c r="J70" s="273"/>
    </row>
    <row r="71" spans="3:10" ht="0" hidden="1" customHeight="1" x14ac:dyDescent="0.2">
      <c r="C71" s="128" t="s">
        <v>21</v>
      </c>
      <c r="D71" s="109"/>
      <c r="E71" s="274"/>
      <c r="F71" s="274"/>
      <c r="G71" s="274"/>
      <c r="H71" s="274"/>
      <c r="I71" s="274"/>
      <c r="J71" s="275"/>
    </row>
    <row r="72" spans="3:10" ht="0" hidden="1" customHeight="1" x14ac:dyDescent="0.2">
      <c r="C72" s="58" t="s">
        <v>69</v>
      </c>
      <c r="D72" s="40"/>
      <c r="E72" s="273"/>
      <c r="F72" s="273"/>
      <c r="G72" s="273"/>
      <c r="H72" s="273"/>
      <c r="I72" s="273"/>
      <c r="J72" s="273"/>
    </row>
  </sheetData>
  <sheetProtection algorithmName="SHA-512" hashValue="nkgy6n0d0GxX3x7VhazoOQji7Ws+u/IvgzoFvDU6Dtp/sHH6YQGPxl9Dji+4f16S6P4nfU5gZQ+Xrdp1uarhsA==" saltValue="GZKyb56OytvlhXWgY9Zkq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K1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C9" sqref="C9"/>
    </sheetView>
  </sheetViews>
  <sheetFormatPr defaultColWidth="9.140625" defaultRowHeight="20.25" customHeight="1" x14ac:dyDescent="0.2"/>
  <cols>
    <col min="1" max="1" width="0.85546875" style="112" customWidth="1"/>
    <col min="2" max="2" width="5" style="112" customWidth="1"/>
    <col min="3" max="3" width="39.42578125" style="412" customWidth="1"/>
    <col min="4" max="4" width="5.85546875" style="112" customWidth="1"/>
    <col min="5" max="10" width="15" style="409" customWidth="1"/>
    <col min="11" max="11" width="34.140625" style="112" customWidth="1"/>
    <col min="12" max="16384" width="9.140625" style="112"/>
  </cols>
  <sheetData>
    <row r="1" spans="1:11" s="242" customFormat="1" ht="12.75" x14ac:dyDescent="0.2">
      <c r="A1" s="5"/>
      <c r="B1" s="5"/>
      <c r="C1" s="79"/>
      <c r="D1" s="5"/>
      <c r="E1" s="250"/>
      <c r="F1" s="250"/>
      <c r="G1" s="250"/>
      <c r="H1" s="250"/>
      <c r="I1" s="250"/>
      <c r="J1" s="250"/>
      <c r="K1" s="5"/>
    </row>
    <row r="2" spans="1:11" s="573" customFormat="1" ht="20.25" customHeight="1" x14ac:dyDescent="0.25">
      <c r="A2" s="195"/>
      <c r="B2" s="195"/>
      <c r="C2" s="196" t="s">
        <v>779</v>
      </c>
      <c r="D2" s="197"/>
      <c r="E2" s="304"/>
      <c r="F2" s="304"/>
      <c r="G2" s="304"/>
      <c r="H2" s="304"/>
      <c r="I2" s="304"/>
      <c r="J2" s="304"/>
      <c r="K2" s="195"/>
    </row>
    <row r="3" spans="1:11" s="242" customFormat="1" ht="12.75" x14ac:dyDescent="0.2">
      <c r="A3" s="5"/>
      <c r="B3" s="5"/>
      <c r="C3" s="79"/>
      <c r="D3" s="5"/>
      <c r="E3" s="250"/>
      <c r="F3" s="250"/>
      <c r="G3" s="250"/>
      <c r="H3" s="250"/>
      <c r="I3" s="250"/>
      <c r="J3" s="250"/>
      <c r="K3" s="5"/>
    </row>
    <row r="4" spans="1:11" s="242" customFormat="1" ht="13.5" thickBot="1" x14ac:dyDescent="0.25">
      <c r="A4" s="5"/>
      <c r="B4" s="5"/>
      <c r="C4" s="82" t="str">
        <f>+Capa!C13</f>
        <v>Gaming’Us</v>
      </c>
      <c r="D4" s="37"/>
      <c r="E4" s="251">
        <f>+AnoN</f>
        <v>2023</v>
      </c>
      <c r="F4" s="251">
        <f>+E4+1</f>
        <v>2024</v>
      </c>
      <c r="G4" s="251">
        <f t="shared" ref="G4:J5" si="0">+F4+1</f>
        <v>2025</v>
      </c>
      <c r="H4" s="251">
        <f t="shared" si="0"/>
        <v>2026</v>
      </c>
      <c r="I4" s="251">
        <f t="shared" si="0"/>
        <v>2027</v>
      </c>
      <c r="J4" s="251">
        <f t="shared" si="0"/>
        <v>2028</v>
      </c>
      <c r="K4" s="5"/>
    </row>
    <row r="5" spans="1:11" s="242" customFormat="1" ht="10.5" customHeight="1" thickTop="1" x14ac:dyDescent="0.2">
      <c r="A5" s="5"/>
      <c r="B5" s="5"/>
      <c r="C5" s="79"/>
      <c r="D5" s="5"/>
      <c r="E5" s="346">
        <v>0</v>
      </c>
      <c r="F5" s="346">
        <f>+E5+1</f>
        <v>1</v>
      </c>
      <c r="G5" s="346">
        <f t="shared" si="0"/>
        <v>2</v>
      </c>
      <c r="H5" s="346">
        <f t="shared" si="0"/>
        <v>3</v>
      </c>
      <c r="I5" s="346">
        <f t="shared" si="0"/>
        <v>4</v>
      </c>
      <c r="J5" s="346">
        <f t="shared" si="0"/>
        <v>5</v>
      </c>
      <c r="K5" s="5"/>
    </row>
    <row r="6" spans="1:11" s="242" customFormat="1" ht="7.5" customHeight="1" x14ac:dyDescent="0.2">
      <c r="A6" s="5"/>
      <c r="B6" s="5"/>
      <c r="C6" s="389"/>
      <c r="D6" s="8"/>
      <c r="E6" s="250"/>
      <c r="F6" s="250"/>
      <c r="G6" s="250"/>
      <c r="H6" s="250"/>
      <c r="I6" s="250"/>
      <c r="J6" s="250"/>
      <c r="K6" s="5"/>
    </row>
    <row r="7" spans="1:11" s="242" customFormat="1" ht="66" customHeight="1" x14ac:dyDescent="0.2">
      <c r="A7" s="5"/>
      <c r="B7" s="5"/>
      <c r="C7" s="928" t="s">
        <v>541</v>
      </c>
      <c r="D7" s="60"/>
      <c r="E7" s="943" t="s">
        <v>543</v>
      </c>
      <c r="F7" s="944"/>
      <c r="G7" s="944"/>
      <c r="H7" s="944"/>
      <c r="I7" s="944"/>
      <c r="J7" s="945"/>
      <c r="K7" s="5"/>
    </row>
    <row r="8" spans="1:11" s="242" customFormat="1" ht="6.75" customHeight="1" x14ac:dyDescent="0.2">
      <c r="A8" s="5"/>
      <c r="B8" s="5"/>
      <c r="C8" s="79"/>
      <c r="D8" s="5"/>
      <c r="E8" s="250"/>
      <c r="F8" s="250"/>
      <c r="G8" s="250"/>
      <c r="H8" s="250"/>
      <c r="I8" s="250"/>
      <c r="J8" s="250"/>
      <c r="K8" s="5"/>
    </row>
    <row r="9" spans="1:11" s="242" customFormat="1" ht="18" customHeight="1" x14ac:dyDescent="0.2">
      <c r="A9" s="5"/>
      <c r="B9" s="5"/>
      <c r="C9" s="393" t="s">
        <v>104</v>
      </c>
      <c r="D9" s="397"/>
      <c r="E9" s="396">
        <f>+'1.Demonstração de Resultados'!E24</f>
        <v>40000</v>
      </c>
      <c r="F9" s="29">
        <f ca="1">+'1.Demonstração de Resultados'!F24</f>
        <v>48960</v>
      </c>
      <c r="G9" s="29">
        <f ca="1">+'1.Demonstração de Resultados'!G24</f>
        <v>59927.040000000001</v>
      </c>
      <c r="H9" s="29">
        <f ca="1">+'1.Demonstração de Resultados'!H24</f>
        <v>73350.696960000001</v>
      </c>
      <c r="I9" s="29">
        <f ca="1">+'1.Demonstração de Resultados'!I24</f>
        <v>89781.253079040005</v>
      </c>
      <c r="J9" s="29">
        <f ca="1">+'1.Demonstração de Resultados'!J24</f>
        <v>109892.25376874495</v>
      </c>
      <c r="K9" s="5"/>
    </row>
    <row r="10" spans="1:11" s="242" customFormat="1" ht="18" customHeight="1" x14ac:dyDescent="0.2">
      <c r="A10" s="5"/>
      <c r="B10" s="5"/>
      <c r="C10" s="393" t="s">
        <v>103</v>
      </c>
      <c r="D10" s="398"/>
      <c r="E10" s="453">
        <f ca="1">+'1.Demonstração de Resultados'!E28+('1.Demonstração de Resultados'!E26*(Pressupostos!$D$18+Pressupostos!$D$19))</f>
        <v>-9000</v>
      </c>
      <c r="F10" s="453">
        <f ca="1">+'1.Demonstração de Resultados'!F28+('1.Demonstração de Resultados'!F26*(Pressupostos!$D$18+Pressupostos!$D$19))</f>
        <v>-11016</v>
      </c>
      <c r="G10" s="453">
        <f ca="1">+'1.Demonstração de Resultados'!G28+('1.Demonstração de Resultados'!G26*(Pressupostos!$D$18+Pressupostos!$D$19))</f>
        <v>-13483.583999999999</v>
      </c>
      <c r="H10" s="453">
        <f ca="1">+'1.Demonstração de Resultados'!H28+('1.Demonstração de Resultados'!H26*(Pressupostos!$D$18+Pressupostos!$D$19))</f>
        <v>-16503.906815999999</v>
      </c>
      <c r="I10" s="453">
        <f ca="1">+'1.Demonstração de Resultados'!I28+('1.Demonstração de Resultados'!I26*(Pressupostos!$D$18+Pressupostos!$D$19))</f>
        <v>-20200.781942784</v>
      </c>
      <c r="J10" s="453">
        <f ca="1">+'1.Demonstração de Resultados'!J28+('1.Demonstração de Resultados'!J26*(Pressupostos!$D$18+Pressupostos!$D$19))</f>
        <v>-24725.757097967613</v>
      </c>
      <c r="K10" s="5"/>
    </row>
    <row r="11" spans="1:11" s="242" customFormat="1" ht="18" customHeight="1" x14ac:dyDescent="0.2">
      <c r="A11" s="5"/>
      <c r="B11" s="5"/>
      <c r="C11" s="393" t="s">
        <v>369</v>
      </c>
      <c r="D11" s="398"/>
      <c r="E11" s="396">
        <f>+'6. Investimento'!F36</f>
        <v>0</v>
      </c>
      <c r="F11" s="29">
        <f>+'6. Investimento'!G36</f>
        <v>0</v>
      </c>
      <c r="G11" s="29">
        <f>+'6. Investimento'!H36</f>
        <v>0</v>
      </c>
      <c r="H11" s="29">
        <f>+'6. Investimento'!I36</f>
        <v>0</v>
      </c>
      <c r="I11" s="29">
        <f>+'6. Investimento'!J36</f>
        <v>0</v>
      </c>
      <c r="J11" s="29">
        <f>+'6. Investimento'!K36</f>
        <v>0</v>
      </c>
      <c r="K11" s="5"/>
    </row>
    <row r="12" spans="1:11" s="242" customFormat="1" ht="18" customHeight="1" x14ac:dyDescent="0.2">
      <c r="A12" s="5"/>
      <c r="B12" s="5"/>
      <c r="C12" s="393" t="s">
        <v>244</v>
      </c>
      <c r="D12" s="398"/>
      <c r="E12" s="396">
        <f>-'5. Fundo de Maneio'!E25</f>
        <v>1533.3333333333333</v>
      </c>
      <c r="F12" s="29">
        <f>-'5. Fundo de Maneio'!F25</f>
        <v>343.46666666666692</v>
      </c>
      <c r="G12" s="29">
        <f>-'5. Fundo de Maneio'!G25</f>
        <v>420.4032000000002</v>
      </c>
      <c r="H12" s="29">
        <f>-'5. Fundo de Maneio'!H25</f>
        <v>514.57351680000011</v>
      </c>
      <c r="I12" s="29">
        <f>-'5. Fundo de Maneio'!I25</f>
        <v>629.83798456319983</v>
      </c>
      <c r="J12" s="29">
        <f>-'5. Fundo de Maneio'!J25</f>
        <v>770.92169310535655</v>
      </c>
      <c r="K12" s="5"/>
    </row>
    <row r="13" spans="1:11" s="242" customFormat="1" ht="18" customHeight="1" x14ac:dyDescent="0.2">
      <c r="A13" s="5"/>
      <c r="B13" s="5"/>
      <c r="C13" s="393" t="s">
        <v>102</v>
      </c>
      <c r="D13" s="398"/>
      <c r="E13" s="396">
        <f>-'6. Investimento'!F6</f>
        <v>0</v>
      </c>
      <c r="F13" s="29">
        <f>-'6. Investimento'!G6</f>
        <v>0</v>
      </c>
      <c r="G13" s="29">
        <f>-'6. Investimento'!H6</f>
        <v>0</v>
      </c>
      <c r="H13" s="29">
        <f>-'6. Investimento'!I6</f>
        <v>0</v>
      </c>
      <c r="I13" s="29">
        <f>-'6. Investimento'!J6</f>
        <v>0</v>
      </c>
      <c r="J13" s="29">
        <f>-'6. Investimento'!K6</f>
        <v>0</v>
      </c>
      <c r="K13" s="5"/>
    </row>
    <row r="14" spans="1:11" s="242" customFormat="1" ht="18" customHeight="1" x14ac:dyDescent="0.2">
      <c r="A14" s="5"/>
      <c r="B14" s="5"/>
      <c r="C14" s="184" t="s">
        <v>31</v>
      </c>
      <c r="D14" s="398"/>
      <c r="E14" s="255">
        <f t="shared" ref="E14:J14" ca="1" si="1">+SUM(E9:E13)</f>
        <v>32533.333333333332</v>
      </c>
      <c r="F14" s="255">
        <f t="shared" ca="1" si="1"/>
        <v>38287.466666666667</v>
      </c>
      <c r="G14" s="255">
        <f t="shared" ca="1" si="1"/>
        <v>46863.859200000006</v>
      </c>
      <c r="H14" s="255">
        <f t="shared" ca="1" si="1"/>
        <v>57361.363660800002</v>
      </c>
      <c r="I14" s="255">
        <f t="shared" ca="1" si="1"/>
        <v>70210.309120819205</v>
      </c>
      <c r="J14" s="255">
        <f t="shared" ca="1" si="1"/>
        <v>85937.418363882694</v>
      </c>
      <c r="K14" s="5"/>
    </row>
    <row r="15" spans="1:11" s="242" customFormat="1" ht="18" customHeight="1" x14ac:dyDescent="0.2">
      <c r="C15" s="455" t="s">
        <v>334</v>
      </c>
      <c r="D15" s="50"/>
      <c r="E15" s="456"/>
      <c r="F15" s="457"/>
      <c r="G15" s="457"/>
      <c r="H15" s="457"/>
      <c r="I15" s="457"/>
      <c r="J15" s="454">
        <f>+'6. Investimento'!K21+'5. Fundo de Maneio'!J24</f>
        <v>-4212.5363944685569</v>
      </c>
      <c r="K15" s="458"/>
    </row>
    <row r="16" spans="1:11" s="242" customFormat="1" ht="18" customHeight="1" x14ac:dyDescent="0.2">
      <c r="C16" s="184" t="s">
        <v>337</v>
      </c>
      <c r="D16" s="398"/>
      <c r="E16" s="255">
        <f t="shared" ref="E16:J16" ca="1" si="2">+E14+E15</f>
        <v>32533.333333333332</v>
      </c>
      <c r="F16" s="255">
        <f t="shared" ca="1" si="2"/>
        <v>38287.466666666667</v>
      </c>
      <c r="G16" s="255">
        <f t="shared" ca="1" si="2"/>
        <v>46863.859200000006</v>
      </c>
      <c r="H16" s="255">
        <f t="shared" ca="1" si="2"/>
        <v>57361.363660800002</v>
      </c>
      <c r="I16" s="255">
        <f t="shared" ca="1" si="2"/>
        <v>70210.309120819205</v>
      </c>
      <c r="J16" s="255">
        <f t="shared" ca="1" si="2"/>
        <v>81724.881969414142</v>
      </c>
    </row>
    <row r="17" spans="1:11" s="242" customFormat="1" ht="18" customHeight="1" x14ac:dyDescent="0.2">
      <c r="A17" s="5"/>
      <c r="B17" s="5"/>
      <c r="C17" s="394" t="s">
        <v>32</v>
      </c>
      <c r="D17" s="398"/>
      <c r="E17" s="294"/>
      <c r="F17" s="254"/>
      <c r="G17" s="254"/>
      <c r="H17" s="254"/>
      <c r="I17" s="254"/>
      <c r="J17" s="386" t="e">
        <f ca="1">+(J14*(1+Pressupostos!D311))/((Pressupostos!D299-Pressupostos!D311))</f>
        <v>#DIV/0!</v>
      </c>
      <c r="K17" s="427"/>
    </row>
    <row r="18" spans="1:11" s="242" customFormat="1" ht="18" customHeight="1" x14ac:dyDescent="0.2">
      <c r="A18" s="5"/>
      <c r="B18" s="5"/>
      <c r="C18" s="184" t="s">
        <v>33</v>
      </c>
      <c r="D18" s="398"/>
      <c r="E18" s="255">
        <f t="shared" ref="E18:J18" ca="1" si="3">+E17+E14</f>
        <v>32533.333333333332</v>
      </c>
      <c r="F18" s="255">
        <f t="shared" ca="1" si="3"/>
        <v>38287.466666666667</v>
      </c>
      <c r="G18" s="255">
        <f t="shared" ca="1" si="3"/>
        <v>46863.859200000006</v>
      </c>
      <c r="H18" s="255">
        <f t="shared" ca="1" si="3"/>
        <v>57361.363660800002</v>
      </c>
      <c r="I18" s="255">
        <f t="shared" ca="1" si="3"/>
        <v>70210.309120819205</v>
      </c>
      <c r="J18" s="255" t="e">
        <f t="shared" ca="1" si="3"/>
        <v>#DIV/0!</v>
      </c>
      <c r="K18" s="5"/>
    </row>
    <row r="19" spans="1:11" s="242" customFormat="1" ht="18" customHeight="1" x14ac:dyDescent="0.2">
      <c r="A19" s="5"/>
      <c r="B19" s="5"/>
      <c r="C19" s="520" t="s">
        <v>429</v>
      </c>
      <c r="D19" s="521"/>
      <c r="E19" s="522">
        <f ca="1">1/((1+Pressupostos!$D$299)^E5)</f>
        <v>1</v>
      </c>
      <c r="F19" s="523">
        <f ca="1">1/((1+Pressupostos!$D$299)^F5)</f>
        <v>1</v>
      </c>
      <c r="G19" s="523">
        <f ca="1">1/((1+Pressupostos!$D$299)^G5)</f>
        <v>1</v>
      </c>
      <c r="H19" s="523">
        <f ca="1">1/((1+Pressupostos!$D$299)^H5)</f>
        <v>1</v>
      </c>
      <c r="I19" s="523">
        <f ca="1">1/((1+Pressupostos!$D$299)^I5)</f>
        <v>1</v>
      </c>
      <c r="J19" s="523">
        <f ca="1">1/((1+Pressupostos!$D$299)^J5)</f>
        <v>1</v>
      </c>
      <c r="K19" s="427"/>
    </row>
    <row r="20" spans="1:11" s="574" customFormat="1" ht="6.75" customHeight="1" x14ac:dyDescent="0.2">
      <c r="A20" s="405"/>
      <c r="B20" s="405"/>
      <c r="C20" s="402"/>
      <c r="D20" s="403"/>
      <c r="E20" s="404">
        <f t="shared" ref="E20:J20" ca="1" si="4">+IF(E24&lt;0,"n/a",ABS(D24)/E23)</f>
        <v>0</v>
      </c>
      <c r="F20" s="404">
        <f t="shared" ca="1" si="4"/>
        <v>0.84971235147445978</v>
      </c>
      <c r="G20" s="404">
        <f t="shared" ca="1" si="4"/>
        <v>1.5112029015314212</v>
      </c>
      <c r="H20" s="404">
        <f t="shared" ca="1" si="4"/>
        <v>2.0516363574603118</v>
      </c>
      <c r="I20" s="404">
        <f t="shared" ca="1" si="4"/>
        <v>2.4931669587094047</v>
      </c>
      <c r="J20" s="404" t="e">
        <f t="shared" ca="1" si="4"/>
        <v>#DIV/0!</v>
      </c>
      <c r="K20" s="405"/>
    </row>
    <row r="21" spans="1:11" s="242" customFormat="1" ht="18" customHeight="1" x14ac:dyDescent="0.2">
      <c r="A21" s="5"/>
      <c r="B21" s="5"/>
      <c r="C21" s="395" t="s">
        <v>335</v>
      </c>
      <c r="D21" s="398"/>
      <c r="E21" s="459">
        <f ca="1">+E16*E19</f>
        <v>32533.333333333332</v>
      </c>
      <c r="F21" s="459">
        <f t="shared" ref="F21:I21" ca="1" si="5">+F16*F19</f>
        <v>38287.466666666667</v>
      </c>
      <c r="G21" s="459">
        <f t="shared" ca="1" si="5"/>
        <v>46863.859200000006</v>
      </c>
      <c r="H21" s="459">
        <f t="shared" ca="1" si="5"/>
        <v>57361.363660800002</v>
      </c>
      <c r="I21" s="459">
        <f t="shared" ca="1" si="5"/>
        <v>70210.309120819205</v>
      </c>
      <c r="J21" s="459">
        <f t="shared" ref="J21" ca="1" si="6">+J16*J19</f>
        <v>81724.881969414142</v>
      </c>
      <c r="K21" s="5"/>
    </row>
    <row r="22" spans="1:11" s="242" customFormat="1" ht="18" customHeight="1" x14ac:dyDescent="0.2">
      <c r="A22" s="5"/>
      <c r="B22" s="5"/>
      <c r="C22" s="184" t="s">
        <v>336</v>
      </c>
      <c r="D22" s="398"/>
      <c r="E22" s="400">
        <f ca="1">+D22+E21</f>
        <v>32533.333333333332</v>
      </c>
      <c r="F22" s="400">
        <f t="shared" ref="F22:J22" ca="1" si="7">+E22+F21</f>
        <v>70820.800000000003</v>
      </c>
      <c r="G22" s="400">
        <f t="shared" ca="1" si="7"/>
        <v>117684.65920000001</v>
      </c>
      <c r="H22" s="400">
        <f t="shared" ca="1" si="7"/>
        <v>175046.0228608</v>
      </c>
      <c r="I22" s="400">
        <f t="shared" ca="1" si="7"/>
        <v>245256.33198161921</v>
      </c>
      <c r="J22" s="400">
        <f t="shared" ca="1" si="7"/>
        <v>326981.21395103337</v>
      </c>
      <c r="K22" s="5"/>
    </row>
    <row r="23" spans="1:11" s="242" customFormat="1" ht="18" customHeight="1" x14ac:dyDescent="0.2">
      <c r="A23" s="5"/>
      <c r="B23" s="5"/>
      <c r="C23" s="395" t="s">
        <v>424</v>
      </c>
      <c r="D23" s="398"/>
      <c r="E23" s="255">
        <f t="shared" ref="E23:J23" ca="1" si="8">+E18*E19</f>
        <v>32533.333333333332</v>
      </c>
      <c r="F23" s="255">
        <f t="shared" ca="1" si="8"/>
        <v>38287.466666666667</v>
      </c>
      <c r="G23" s="255">
        <f t="shared" ca="1" si="8"/>
        <v>46863.859200000006</v>
      </c>
      <c r="H23" s="255">
        <f t="shared" ca="1" si="8"/>
        <v>57361.363660800002</v>
      </c>
      <c r="I23" s="255">
        <f t="shared" ca="1" si="8"/>
        <v>70210.309120819205</v>
      </c>
      <c r="J23" s="255" t="e">
        <f t="shared" ca="1" si="8"/>
        <v>#DIV/0!</v>
      </c>
      <c r="K23" s="325"/>
    </row>
    <row r="24" spans="1:11" s="242" customFormat="1" ht="18" customHeight="1" x14ac:dyDescent="0.2">
      <c r="A24" s="5"/>
      <c r="B24" s="5"/>
      <c r="C24" s="184" t="s">
        <v>425</v>
      </c>
      <c r="D24" s="398"/>
      <c r="E24" s="400">
        <f ca="1">+D24+E23</f>
        <v>32533.333333333332</v>
      </c>
      <c r="F24" s="401">
        <f t="shared" ref="F24" ca="1" si="9">+E24+F23</f>
        <v>70820.800000000003</v>
      </c>
      <c r="G24" s="401">
        <f t="shared" ref="G24" ca="1" si="10">+F24+G23</f>
        <v>117684.65920000001</v>
      </c>
      <c r="H24" s="401">
        <f t="shared" ref="H24" ca="1" si="11">+G24+H23</f>
        <v>175046.0228608</v>
      </c>
      <c r="I24" s="401">
        <f t="shared" ref="I24:J24" ca="1" si="12">+H24+I23</f>
        <v>245256.33198161921</v>
      </c>
      <c r="J24" s="401" t="e">
        <f t="shared" ca="1" si="12"/>
        <v>#DIV/0!</v>
      </c>
      <c r="K24" s="5"/>
    </row>
    <row r="25" spans="1:11" s="574" customFormat="1" ht="16.5" customHeight="1" x14ac:dyDescent="0.2">
      <c r="A25" s="405"/>
      <c r="B25" s="405"/>
      <c r="C25" s="402"/>
      <c r="D25" s="403"/>
      <c r="E25" s="404">
        <f t="shared" ref="E25:J25" ca="1" si="13">+IF(E22&lt;0,"n/a",ABS(D22)/E21)</f>
        <v>0</v>
      </c>
      <c r="F25" s="404">
        <f t="shared" ca="1" si="13"/>
        <v>0.84971235147445978</v>
      </c>
      <c r="G25" s="404">
        <f t="shared" ca="1" si="13"/>
        <v>1.5112029015314212</v>
      </c>
      <c r="H25" s="404">
        <f t="shared" ca="1" si="13"/>
        <v>2.0516363574603118</v>
      </c>
      <c r="I25" s="404">
        <f t="shared" ca="1" si="13"/>
        <v>2.4931669587094047</v>
      </c>
      <c r="J25" s="404">
        <f t="shared" ca="1" si="13"/>
        <v>3.0009995251312489</v>
      </c>
      <c r="K25" s="405"/>
    </row>
    <row r="26" spans="1:11" s="242" customFormat="1" ht="18" customHeight="1" x14ac:dyDescent="0.2">
      <c r="A26" s="5"/>
      <c r="B26" s="5"/>
      <c r="C26" s="184" t="s">
        <v>57</v>
      </c>
      <c r="D26" s="60"/>
      <c r="E26" s="524" t="s">
        <v>428</v>
      </c>
      <c r="F26" s="524" t="s">
        <v>427</v>
      </c>
      <c r="G26" s="252"/>
      <c r="H26" s="252"/>
      <c r="I26" s="252"/>
      <c r="J26" s="253"/>
      <c r="K26" s="5"/>
    </row>
    <row r="27" spans="1:11" s="242" customFormat="1" ht="18" customHeight="1" x14ac:dyDescent="0.2">
      <c r="A27" s="5"/>
      <c r="B27" s="5"/>
      <c r="C27" s="14" t="s">
        <v>56</v>
      </c>
      <c r="D27" s="398"/>
      <c r="E27" s="256">
        <f ca="1">+SUM(E21:J21)</f>
        <v>326981.21395103337</v>
      </c>
      <c r="F27" s="256" t="e">
        <f ca="1">+SUM(E23:J23)</f>
        <v>#DIV/0!</v>
      </c>
      <c r="G27" s="250"/>
      <c r="H27" s="250"/>
      <c r="I27" s="250"/>
      <c r="J27" s="250"/>
      <c r="K27" s="5"/>
    </row>
    <row r="28" spans="1:11" s="242" customFormat="1" ht="18" customHeight="1" x14ac:dyDescent="0.2">
      <c r="A28" s="5"/>
      <c r="B28" s="5"/>
      <c r="C28" s="438" t="s">
        <v>34</v>
      </c>
      <c r="D28" s="398"/>
      <c r="E28" s="839" t="e">
        <f ca="1">+IRR(E16:J16)</f>
        <v>#NUM!</v>
      </c>
      <c r="F28" s="840" t="e">
        <f ca="1">+IRR(E18:J18)</f>
        <v>#VALUE!</v>
      </c>
      <c r="G28" s="250"/>
      <c r="H28" s="250"/>
      <c r="I28" s="250"/>
      <c r="J28" s="250"/>
      <c r="K28" s="5"/>
    </row>
    <row r="29" spans="1:11" s="242" customFormat="1" ht="18" customHeight="1" x14ac:dyDescent="0.2">
      <c r="A29" s="5"/>
      <c r="B29" s="5"/>
      <c r="C29" s="442" t="s">
        <v>7</v>
      </c>
      <c r="D29" s="443"/>
      <c r="E29" s="258">
        <f ca="1">+COUNTIF(E22:J22,"&lt;0")+INDEX(E25:J25,,COUNTIF(E22:J22,"&lt;0")+1)</f>
        <v>0</v>
      </c>
      <c r="F29" s="444">
        <f ca="1">+COUNTIF(E24:J24,"&lt;0")+INDEX(E20:J20,,COUNTIF(E24:J24,"&lt;0")+1)</f>
        <v>0</v>
      </c>
      <c r="G29" s="353" t="s">
        <v>239</v>
      </c>
      <c r="H29" s="250"/>
      <c r="I29" s="250"/>
      <c r="J29" s="250"/>
      <c r="K29" s="5"/>
    </row>
    <row r="30" spans="1:11" ht="9.75" customHeight="1" x14ac:dyDescent="0.2">
      <c r="C30" s="407"/>
      <c r="D30" s="408"/>
    </row>
    <row r="31" spans="1:11" ht="20.25" customHeight="1" x14ac:dyDescent="0.2">
      <c r="C31" s="439" t="s">
        <v>321</v>
      </c>
      <c r="D31" s="441"/>
      <c r="E31" s="440">
        <f>+'6. Investimento'!K21+'5. Fundo de Maneio'!J24</f>
        <v>-4212.5363944685569</v>
      </c>
      <c r="F31" s="437" t="s">
        <v>322</v>
      </c>
    </row>
    <row r="32" spans="1:11" ht="20.25" customHeight="1" x14ac:dyDescent="0.2">
      <c r="C32" s="439" t="s">
        <v>426</v>
      </c>
      <c r="D32" s="398"/>
      <c r="E32" s="440" t="e">
        <f ca="1">+J17</f>
        <v>#DIV/0!</v>
      </c>
      <c r="F32" s="437"/>
    </row>
    <row r="33" spans="1:11" s="242" customFormat="1" ht="7.5" customHeight="1" x14ac:dyDescent="0.2">
      <c r="A33" s="5"/>
      <c r="B33" s="5"/>
      <c r="C33" s="389"/>
      <c r="D33" s="8"/>
      <c r="E33" s="250"/>
      <c r="F33" s="250"/>
      <c r="G33" s="250"/>
      <c r="H33" s="250"/>
      <c r="I33" s="250"/>
      <c r="J33" s="250"/>
      <c r="K33" s="5"/>
    </row>
    <row r="34" spans="1:11" s="242" customFormat="1" ht="66" customHeight="1" x14ac:dyDescent="0.2">
      <c r="A34" s="5"/>
      <c r="B34" s="5"/>
      <c r="C34" s="928" t="s">
        <v>540</v>
      </c>
      <c r="D34" s="60"/>
      <c r="E34" s="941" t="s">
        <v>542</v>
      </c>
      <c r="F34" s="941"/>
      <c r="G34" s="941"/>
      <c r="H34" s="941"/>
      <c r="I34" s="941"/>
      <c r="J34" s="942"/>
      <c r="K34" s="5"/>
    </row>
    <row r="35" spans="1:11" s="242" customFormat="1" ht="6.75" customHeight="1" x14ac:dyDescent="0.2">
      <c r="A35" s="5"/>
      <c r="B35" s="5"/>
      <c r="C35" s="79"/>
      <c r="D35" s="5"/>
      <c r="E35" s="250"/>
      <c r="F35" s="250"/>
      <c r="G35" s="250"/>
      <c r="H35" s="250"/>
      <c r="I35" s="250"/>
      <c r="J35" s="250"/>
      <c r="K35" s="5"/>
    </row>
    <row r="36" spans="1:11" s="242" customFormat="1" ht="18" customHeight="1" x14ac:dyDescent="0.2">
      <c r="A36" s="5"/>
      <c r="B36" s="5"/>
      <c r="C36" s="393" t="s">
        <v>104</v>
      </c>
      <c r="D36" s="397"/>
      <c r="E36" s="396">
        <f>+'1.Demonstração de Resultados'!E24</f>
        <v>40000</v>
      </c>
      <c r="F36" s="396">
        <f ca="1">+'1.Demonstração de Resultados'!F24</f>
        <v>48960</v>
      </c>
      <c r="G36" s="396">
        <f ca="1">+'1.Demonstração de Resultados'!G24</f>
        <v>59927.040000000001</v>
      </c>
      <c r="H36" s="396">
        <f ca="1">+'1.Demonstração de Resultados'!H24</f>
        <v>73350.696960000001</v>
      </c>
      <c r="I36" s="396">
        <f ca="1">+'1.Demonstração de Resultados'!I24</f>
        <v>89781.253079040005</v>
      </c>
      <c r="J36" s="396">
        <f ca="1">+'1.Demonstração de Resultados'!J24</f>
        <v>109892.25376874495</v>
      </c>
      <c r="K36" s="5"/>
    </row>
    <row r="37" spans="1:11" s="242" customFormat="1" ht="18" customHeight="1" x14ac:dyDescent="0.2">
      <c r="A37" s="5"/>
      <c r="B37" s="5"/>
      <c r="C37" s="393" t="s">
        <v>103</v>
      </c>
      <c r="D37" s="398"/>
      <c r="E37" s="453">
        <f ca="1">+'1.Demonstração de Resultados'!E28+('1.Demonstração de Resultados'!E26*(Pressupostos!$D$18+Pressupostos!$D$19))</f>
        <v>-9000</v>
      </c>
      <c r="F37" s="453">
        <f ca="1">+'1.Demonstração de Resultados'!F28+('1.Demonstração de Resultados'!F26*(Pressupostos!$D$18+Pressupostos!$D$19))</f>
        <v>-11016</v>
      </c>
      <c r="G37" s="453">
        <f ca="1">+'1.Demonstração de Resultados'!G28+('1.Demonstração de Resultados'!G26*(Pressupostos!$D$18+Pressupostos!$D$19))</f>
        <v>-13483.583999999999</v>
      </c>
      <c r="H37" s="453">
        <f ca="1">+'1.Demonstração de Resultados'!H28+('1.Demonstração de Resultados'!H26*(Pressupostos!$D$18+Pressupostos!$D$19))</f>
        <v>-16503.906815999999</v>
      </c>
      <c r="I37" s="453">
        <f ca="1">+'1.Demonstração de Resultados'!I28+('1.Demonstração de Resultados'!I26*(Pressupostos!$D$18+Pressupostos!$D$19))</f>
        <v>-20200.781942784</v>
      </c>
      <c r="J37" s="453">
        <f ca="1">+'1.Demonstração de Resultados'!J28+('1.Demonstração de Resultados'!J26*(Pressupostos!$D$18+Pressupostos!$D$19))</f>
        <v>-24725.757097967613</v>
      </c>
      <c r="K37" s="5"/>
    </row>
    <row r="38" spans="1:11" s="242" customFormat="1" ht="18" customHeight="1" x14ac:dyDescent="0.2">
      <c r="A38" s="5"/>
      <c r="B38" s="5"/>
      <c r="C38" s="393" t="s">
        <v>369</v>
      </c>
      <c r="D38" s="398"/>
      <c r="E38" s="396">
        <f>+'6. Investimento'!F36</f>
        <v>0</v>
      </c>
      <c r="F38" s="396">
        <f>+'6. Investimento'!G36</f>
        <v>0</v>
      </c>
      <c r="G38" s="396">
        <f>+'6. Investimento'!H36</f>
        <v>0</v>
      </c>
      <c r="H38" s="396">
        <f>+'6. Investimento'!I36</f>
        <v>0</v>
      </c>
      <c r="I38" s="396">
        <f>+'6. Investimento'!J36</f>
        <v>0</v>
      </c>
      <c r="J38" s="396">
        <f>+'6. Investimento'!K36</f>
        <v>0</v>
      </c>
      <c r="K38" s="5"/>
    </row>
    <row r="39" spans="1:11" s="242" customFormat="1" ht="18" customHeight="1" x14ac:dyDescent="0.2">
      <c r="A39" s="5"/>
      <c r="B39" s="5"/>
      <c r="C39" s="393" t="s">
        <v>244</v>
      </c>
      <c r="D39" s="398"/>
      <c r="E39" s="396">
        <f>-'5. Fundo de Maneio'!E25</f>
        <v>1533.3333333333333</v>
      </c>
      <c r="F39" s="396">
        <f>-'5. Fundo de Maneio'!F25</f>
        <v>343.46666666666692</v>
      </c>
      <c r="G39" s="396">
        <f>-'5. Fundo de Maneio'!G25</f>
        <v>420.4032000000002</v>
      </c>
      <c r="H39" s="396">
        <f>-'5. Fundo de Maneio'!H25</f>
        <v>514.57351680000011</v>
      </c>
      <c r="I39" s="396">
        <f>-'5. Fundo de Maneio'!I25</f>
        <v>629.83798456319983</v>
      </c>
      <c r="J39" s="396">
        <f>-'5. Fundo de Maneio'!J25</f>
        <v>770.92169310535655</v>
      </c>
      <c r="K39" s="5"/>
    </row>
    <row r="40" spans="1:11" s="242" customFormat="1" ht="18" customHeight="1" x14ac:dyDescent="0.2">
      <c r="A40" s="5"/>
      <c r="B40" s="5"/>
      <c r="C40" s="393" t="s">
        <v>102</v>
      </c>
      <c r="D40" s="398"/>
      <c r="E40" s="396">
        <f>-'6. Investimento'!F6</f>
        <v>0</v>
      </c>
      <c r="F40" s="396">
        <f>-'6. Investimento'!G6</f>
        <v>0</v>
      </c>
      <c r="G40" s="396">
        <f>-'6. Investimento'!H6</f>
        <v>0</v>
      </c>
      <c r="H40" s="396">
        <f>-'6. Investimento'!I6</f>
        <v>0</v>
      </c>
      <c r="I40" s="396">
        <f>-'6. Investimento'!J6</f>
        <v>0</v>
      </c>
      <c r="J40" s="396">
        <f>-'6. Investimento'!K6</f>
        <v>0</v>
      </c>
      <c r="K40" s="5"/>
    </row>
    <row r="41" spans="1:11" s="242" customFormat="1" ht="18" customHeight="1" x14ac:dyDescent="0.2">
      <c r="A41" s="5"/>
      <c r="B41" s="5"/>
      <c r="C41" s="184" t="s">
        <v>31</v>
      </c>
      <c r="D41" s="398"/>
      <c r="E41" s="255">
        <f t="shared" ref="E41:J41" ca="1" si="14">+SUM(E36:E40)</f>
        <v>32533.333333333332</v>
      </c>
      <c r="F41" s="255">
        <f t="shared" ca="1" si="14"/>
        <v>38287.466666666667</v>
      </c>
      <c r="G41" s="255">
        <f t="shared" ca="1" si="14"/>
        <v>46863.859200000006</v>
      </c>
      <c r="H41" s="255">
        <f t="shared" ca="1" si="14"/>
        <v>57361.363660800002</v>
      </c>
      <c r="I41" s="255">
        <f t="shared" ca="1" si="14"/>
        <v>70210.309120819205</v>
      </c>
      <c r="J41" s="255">
        <f t="shared" ca="1" si="14"/>
        <v>85937.418363882694</v>
      </c>
      <c r="K41" s="5"/>
    </row>
    <row r="42" spans="1:11" s="242" customFormat="1" ht="18" customHeight="1" x14ac:dyDescent="0.2">
      <c r="C42" s="571" t="s">
        <v>334</v>
      </c>
      <c r="D42" s="50"/>
      <c r="E42" s="456"/>
      <c r="F42" s="457"/>
      <c r="G42" s="457"/>
      <c r="H42" s="457"/>
      <c r="I42" s="457"/>
      <c r="J42" s="454">
        <f>+'6. Investimento'!K21+'5. Fundo de Maneio'!J24</f>
        <v>-4212.5363944685569</v>
      </c>
      <c r="K42" s="458"/>
    </row>
    <row r="43" spans="1:11" s="242" customFormat="1" ht="18" customHeight="1" x14ac:dyDescent="0.2">
      <c r="C43" s="184" t="s">
        <v>337</v>
      </c>
      <c r="D43" s="398"/>
      <c r="E43" s="255">
        <f t="shared" ref="E43:J43" ca="1" si="15">+E41+E42</f>
        <v>32533.333333333332</v>
      </c>
      <c r="F43" s="255">
        <f t="shared" ca="1" si="15"/>
        <v>38287.466666666667</v>
      </c>
      <c r="G43" s="255">
        <f t="shared" ca="1" si="15"/>
        <v>46863.859200000006</v>
      </c>
      <c r="H43" s="255">
        <f t="shared" ca="1" si="15"/>
        <v>57361.363660800002</v>
      </c>
      <c r="I43" s="255">
        <f t="shared" ca="1" si="15"/>
        <v>70210.309120819205</v>
      </c>
      <c r="J43" s="255">
        <f t="shared" ca="1" si="15"/>
        <v>81724.881969414142</v>
      </c>
    </row>
    <row r="44" spans="1:11" s="242" customFormat="1" ht="18" customHeight="1" x14ac:dyDescent="0.2">
      <c r="A44" s="5"/>
      <c r="B44" s="5"/>
      <c r="C44" s="572" t="s">
        <v>32</v>
      </c>
      <c r="D44" s="398"/>
      <c r="E44" s="294"/>
      <c r="F44" s="254"/>
      <c r="G44" s="254"/>
      <c r="H44" s="254"/>
      <c r="I44" s="254"/>
      <c r="J44" s="454" t="e">
        <f ca="1">+(J41*(1+Pressupostos!D311))/((Pressupostos!D300-Pressupostos!D311))</f>
        <v>#DIV/0!</v>
      </c>
      <c r="K44" s="5"/>
    </row>
    <row r="45" spans="1:11" s="242" customFormat="1" ht="18" customHeight="1" x14ac:dyDescent="0.2">
      <c r="A45" s="5"/>
      <c r="B45" s="5"/>
      <c r="C45" s="184" t="s">
        <v>33</v>
      </c>
      <c r="D45" s="398"/>
      <c r="E45" s="255">
        <f t="shared" ref="E45:J45" ca="1" si="16">+E44+E41</f>
        <v>32533.333333333332</v>
      </c>
      <c r="F45" s="255">
        <f t="shared" ca="1" si="16"/>
        <v>38287.466666666667</v>
      </c>
      <c r="G45" s="255">
        <f t="shared" ca="1" si="16"/>
        <v>46863.859200000006</v>
      </c>
      <c r="H45" s="255">
        <f t="shared" ca="1" si="16"/>
        <v>57361.363660800002</v>
      </c>
      <c r="I45" s="255">
        <f t="shared" ca="1" si="16"/>
        <v>70210.309120819205</v>
      </c>
      <c r="J45" s="255" t="e">
        <f t="shared" ca="1" si="16"/>
        <v>#DIV/0!</v>
      </c>
      <c r="K45" s="5"/>
    </row>
    <row r="46" spans="1:11" s="242" customFormat="1" ht="18" customHeight="1" x14ac:dyDescent="0.2">
      <c r="A46" s="5"/>
      <c r="B46" s="5"/>
      <c r="C46" s="520" t="s">
        <v>430</v>
      </c>
      <c r="D46" s="399"/>
      <c r="E46" s="461">
        <v>1</v>
      </c>
      <c r="F46" s="461">
        <f>1/((1+Pressupostos!$D$300)^F5)</f>
        <v>1</v>
      </c>
      <c r="G46" s="461">
        <f>1/((1+Pressupostos!$D$300)^G5)</f>
        <v>1</v>
      </c>
      <c r="H46" s="461">
        <f>1/((1+Pressupostos!$D$300)^H5)</f>
        <v>1</v>
      </c>
      <c r="I46" s="461">
        <f>1/((1+Pressupostos!$D$300)^I5)</f>
        <v>1</v>
      </c>
      <c r="J46" s="461">
        <f>1/((1+Pressupostos!$D$300)^J5)</f>
        <v>1</v>
      </c>
      <c r="K46" s="5"/>
    </row>
    <row r="47" spans="1:11" s="574" customFormat="1" ht="5.25" customHeight="1" x14ac:dyDescent="0.2">
      <c r="A47" s="405"/>
      <c r="B47" s="405"/>
      <c r="C47" s="402"/>
      <c r="D47" s="403"/>
      <c r="E47" s="404">
        <f t="shared" ref="E47:J47" ca="1" si="17">+IF(E51&lt;0,"n/a",ABS(D51)/E50)</f>
        <v>0</v>
      </c>
      <c r="F47" s="404">
        <f t="shared" ca="1" si="17"/>
        <v>0.84971235147445978</v>
      </c>
      <c r="G47" s="404">
        <f t="shared" ca="1" si="17"/>
        <v>1.5112029015314212</v>
      </c>
      <c r="H47" s="404">
        <f t="shared" ca="1" si="17"/>
        <v>2.0516363574603118</v>
      </c>
      <c r="I47" s="404">
        <f t="shared" ca="1" si="17"/>
        <v>2.4931669587094047</v>
      </c>
      <c r="J47" s="404" t="e">
        <f t="shared" ca="1" si="17"/>
        <v>#DIV/0!</v>
      </c>
      <c r="K47" s="405"/>
    </row>
    <row r="48" spans="1:11" s="242" customFormat="1" ht="18" customHeight="1" x14ac:dyDescent="0.2">
      <c r="A48" s="5"/>
      <c r="B48" s="5"/>
      <c r="C48" s="395" t="s">
        <v>335</v>
      </c>
      <c r="D48" s="398"/>
      <c r="E48" s="460">
        <f t="shared" ref="E48:I48" ca="1" si="18">+E43*E46</f>
        <v>32533.333333333332</v>
      </c>
      <c r="F48" s="460">
        <f t="shared" ca="1" si="18"/>
        <v>38287.466666666667</v>
      </c>
      <c r="G48" s="460">
        <f t="shared" ca="1" si="18"/>
        <v>46863.859200000006</v>
      </c>
      <c r="H48" s="460">
        <f t="shared" ca="1" si="18"/>
        <v>57361.363660800002</v>
      </c>
      <c r="I48" s="460">
        <f t="shared" ca="1" si="18"/>
        <v>70210.309120819205</v>
      </c>
      <c r="J48" s="460">
        <f t="shared" ref="J48" ca="1" si="19">+J43*J46</f>
        <v>81724.881969414142</v>
      </c>
      <c r="K48" s="5"/>
    </row>
    <row r="49" spans="1:11" s="242" customFormat="1" ht="18" customHeight="1" x14ac:dyDescent="0.2">
      <c r="A49" s="5"/>
      <c r="B49" s="5"/>
      <c r="C49" s="184" t="s">
        <v>336</v>
      </c>
      <c r="D49" s="398"/>
      <c r="E49" s="400">
        <f ca="1">+D49+E48</f>
        <v>32533.333333333332</v>
      </c>
      <c r="F49" s="401">
        <f t="shared" ref="F49:J49" ca="1" si="20">+E49+F48</f>
        <v>70820.800000000003</v>
      </c>
      <c r="G49" s="401">
        <f t="shared" ca="1" si="20"/>
        <v>117684.65920000001</v>
      </c>
      <c r="H49" s="401">
        <f t="shared" ca="1" si="20"/>
        <v>175046.0228608</v>
      </c>
      <c r="I49" s="401">
        <f t="shared" ca="1" si="20"/>
        <v>245256.33198161921</v>
      </c>
      <c r="J49" s="401">
        <f t="shared" ca="1" si="20"/>
        <v>326981.21395103337</v>
      </c>
      <c r="K49" s="5"/>
    </row>
    <row r="50" spans="1:11" s="242" customFormat="1" ht="18" customHeight="1" x14ac:dyDescent="0.2">
      <c r="A50" s="5"/>
      <c r="B50" s="5"/>
      <c r="C50" s="395" t="s">
        <v>424</v>
      </c>
      <c r="D50" s="398"/>
      <c r="E50" s="460">
        <f t="shared" ref="E50:J50" ca="1" si="21">+E45*E46</f>
        <v>32533.333333333332</v>
      </c>
      <c r="F50" s="460">
        <f t="shared" ca="1" si="21"/>
        <v>38287.466666666667</v>
      </c>
      <c r="G50" s="460">
        <f t="shared" ca="1" si="21"/>
        <v>46863.859200000006</v>
      </c>
      <c r="H50" s="460">
        <f t="shared" ca="1" si="21"/>
        <v>57361.363660800002</v>
      </c>
      <c r="I50" s="460">
        <f t="shared" ca="1" si="21"/>
        <v>70210.309120819205</v>
      </c>
      <c r="J50" s="460" t="e">
        <f t="shared" ca="1" si="21"/>
        <v>#DIV/0!</v>
      </c>
      <c r="K50" s="5"/>
    </row>
    <row r="51" spans="1:11" s="242" customFormat="1" ht="18" customHeight="1" x14ac:dyDescent="0.2">
      <c r="A51" s="5"/>
      <c r="B51" s="5"/>
      <c r="C51" s="184" t="s">
        <v>425</v>
      </c>
      <c r="D51" s="398"/>
      <c r="E51" s="400">
        <f ca="1">+D51+E50</f>
        <v>32533.333333333332</v>
      </c>
      <c r="F51" s="401">
        <f t="shared" ref="F51" ca="1" si="22">+E51+F50</f>
        <v>70820.800000000003</v>
      </c>
      <c r="G51" s="401">
        <f t="shared" ref="G51" ca="1" si="23">+F51+G50</f>
        <v>117684.65920000001</v>
      </c>
      <c r="H51" s="401">
        <f t="shared" ref="H51" ca="1" si="24">+G51+H50</f>
        <v>175046.0228608</v>
      </c>
      <c r="I51" s="401">
        <f t="shared" ref="I51:J51" ca="1" si="25">+H51+I50</f>
        <v>245256.33198161921</v>
      </c>
      <c r="J51" s="401" t="e">
        <f t="shared" ca="1" si="25"/>
        <v>#DIV/0!</v>
      </c>
      <c r="K51" s="5"/>
    </row>
    <row r="52" spans="1:11" s="574" customFormat="1" ht="14.25" customHeight="1" x14ac:dyDescent="0.2">
      <c r="A52" s="405"/>
      <c r="B52" s="405"/>
      <c r="C52" s="402"/>
      <c r="D52" s="403"/>
      <c r="E52" s="404">
        <f t="shared" ref="E52:J52" ca="1" si="26">+IF(E49&lt;0,"n/a",ABS(D49)/E48)</f>
        <v>0</v>
      </c>
      <c r="F52" s="404">
        <f t="shared" ca="1" si="26"/>
        <v>0.84971235147445978</v>
      </c>
      <c r="G52" s="404">
        <f t="shared" ca="1" si="26"/>
        <v>1.5112029015314212</v>
      </c>
      <c r="H52" s="404">
        <f t="shared" ca="1" si="26"/>
        <v>2.0516363574603118</v>
      </c>
      <c r="I52" s="404">
        <f t="shared" ca="1" si="26"/>
        <v>2.4931669587094047</v>
      </c>
      <c r="J52" s="404">
        <f t="shared" ca="1" si="26"/>
        <v>3.0009995251312489</v>
      </c>
      <c r="K52" s="405"/>
    </row>
    <row r="53" spans="1:11" s="242" customFormat="1" ht="18" customHeight="1" x14ac:dyDescent="0.2">
      <c r="A53" s="5"/>
      <c r="B53" s="5"/>
      <c r="C53" s="184" t="s">
        <v>57</v>
      </c>
      <c r="D53" s="60"/>
      <c r="E53" s="524" t="s">
        <v>432</v>
      </c>
      <c r="F53" s="524" t="s">
        <v>431</v>
      </c>
      <c r="G53" s="252"/>
      <c r="H53" s="252"/>
      <c r="I53" s="252"/>
      <c r="J53" s="253"/>
      <c r="K53" s="5"/>
    </row>
    <row r="54" spans="1:11" s="242" customFormat="1" ht="18" customHeight="1" x14ac:dyDescent="0.2">
      <c r="A54" s="5"/>
      <c r="B54" s="5"/>
      <c r="C54" s="14" t="s">
        <v>56</v>
      </c>
      <c r="D54" s="398"/>
      <c r="E54" s="256">
        <f ca="1">+SUM(E48:J48)</f>
        <v>326981.21395103337</v>
      </c>
      <c r="F54" s="256" t="e">
        <f ca="1">+SUM(E50:J50)</f>
        <v>#DIV/0!</v>
      </c>
      <c r="G54" s="250"/>
      <c r="H54" s="250"/>
      <c r="I54" s="250"/>
      <c r="J54" s="250"/>
      <c r="K54" s="5"/>
    </row>
    <row r="55" spans="1:11" s="242" customFormat="1" ht="18" customHeight="1" x14ac:dyDescent="0.2">
      <c r="A55" s="5"/>
      <c r="B55" s="5"/>
      <c r="C55" s="14" t="s">
        <v>34</v>
      </c>
      <c r="D55" s="398"/>
      <c r="E55" s="728" t="e">
        <f ca="1">+IRR(E43:J43)</f>
        <v>#NUM!</v>
      </c>
      <c r="F55" s="728" t="e">
        <f ca="1">+IRR(E45:J45)</f>
        <v>#VALUE!</v>
      </c>
      <c r="G55" s="250"/>
      <c r="H55" s="250"/>
      <c r="I55" s="250"/>
      <c r="J55" s="250"/>
      <c r="K55" s="5"/>
    </row>
    <row r="56" spans="1:11" s="242" customFormat="1" ht="18" customHeight="1" x14ac:dyDescent="0.2">
      <c r="A56" s="5"/>
      <c r="B56" s="5"/>
      <c r="C56" s="14" t="s">
        <v>7</v>
      </c>
      <c r="D56" s="398"/>
      <c r="E56" s="258">
        <f ca="1">+COUNTIF(E49:J49,"&lt;0")+INDEX(E52:J52,,COUNTIF(E49:J49,"&lt;0")+1)</f>
        <v>0</v>
      </c>
      <c r="F56" s="258">
        <f ca="1">+COUNTIF(E51:J51,"&lt;0")+INDEX(E47:J47,,COUNTIF(E51:J51,"&lt;0")+1)</f>
        <v>0</v>
      </c>
      <c r="G56" s="353" t="s">
        <v>340</v>
      </c>
      <c r="H56" s="250"/>
      <c r="I56" s="250"/>
      <c r="J56" s="250"/>
      <c r="K56" s="5"/>
    </row>
    <row r="57" spans="1:11" s="242" customFormat="1" ht="7.5" customHeight="1" x14ac:dyDescent="0.2">
      <c r="A57" s="5"/>
      <c r="B57" s="5"/>
      <c r="C57" s="389"/>
      <c r="D57" s="8"/>
      <c r="E57" s="250"/>
      <c r="F57" s="250"/>
      <c r="G57" s="250"/>
      <c r="H57" s="250"/>
      <c r="I57" s="250"/>
      <c r="J57" s="250"/>
      <c r="K57" s="5"/>
    </row>
    <row r="58" spans="1:11" s="242" customFormat="1" ht="18" customHeight="1" x14ac:dyDescent="0.2">
      <c r="A58" s="5"/>
      <c r="B58" s="5"/>
      <c r="C58" s="14" t="s">
        <v>323</v>
      </c>
      <c r="D58" s="398"/>
      <c r="E58" s="445">
        <f>+'6. Investimento'!K21+'5. Fundo de Maneio'!J24</f>
        <v>-4212.5363944685569</v>
      </c>
      <c r="F58" s="437" t="s">
        <v>322</v>
      </c>
      <c r="G58" s="250"/>
      <c r="H58" s="250"/>
      <c r="I58" s="250"/>
      <c r="J58" s="250"/>
      <c r="K58" s="5"/>
    </row>
    <row r="59" spans="1:11" s="242" customFormat="1" ht="18" customHeight="1" x14ac:dyDescent="0.2">
      <c r="A59" s="5"/>
      <c r="B59" s="5"/>
      <c r="C59" s="14" t="s">
        <v>426</v>
      </c>
      <c r="D59" s="398"/>
      <c r="E59" s="445" t="e">
        <f ca="1">+J44</f>
        <v>#DIV/0!</v>
      </c>
      <c r="F59" s="259"/>
      <c r="G59" s="250"/>
      <c r="H59" s="250"/>
      <c r="I59" s="250"/>
      <c r="J59" s="250"/>
      <c r="K59" s="5"/>
    </row>
    <row r="60" spans="1:11" s="242" customFormat="1" ht="13.5" customHeight="1" x14ac:dyDescent="0.2">
      <c r="A60" s="5"/>
      <c r="B60" s="5"/>
      <c r="C60" s="416"/>
      <c r="D60" s="462"/>
      <c r="E60" s="473"/>
      <c r="F60" s="437"/>
      <c r="G60" s="250"/>
      <c r="H60" s="250"/>
      <c r="I60" s="250"/>
      <c r="J60" s="250"/>
      <c r="K60" s="5"/>
    </row>
    <row r="61" spans="1:11" s="242" customFormat="1" ht="67.5" customHeight="1" x14ac:dyDescent="0.2">
      <c r="A61" s="5"/>
      <c r="B61" s="5"/>
      <c r="C61" s="928" t="s">
        <v>778</v>
      </c>
      <c r="D61" s="60"/>
      <c r="E61" s="941" t="s">
        <v>544</v>
      </c>
      <c r="F61" s="941"/>
      <c r="G61" s="941"/>
      <c r="H61" s="941"/>
      <c r="I61" s="941"/>
      <c r="J61" s="942"/>
      <c r="K61" s="361"/>
    </row>
    <row r="62" spans="1:11" s="242" customFormat="1" ht="6.75" customHeight="1" x14ac:dyDescent="0.2">
      <c r="A62" s="5"/>
      <c r="B62" s="5"/>
      <c r="C62" s="79"/>
      <c r="D62" s="5"/>
      <c r="E62" s="250"/>
      <c r="F62" s="250"/>
      <c r="G62" s="250"/>
      <c r="H62" s="250"/>
      <c r="I62" s="250"/>
      <c r="J62" s="250"/>
      <c r="K62" s="5"/>
    </row>
    <row r="63" spans="1:11" s="242" customFormat="1" ht="18" customHeight="1" x14ac:dyDescent="0.2">
      <c r="A63" s="5"/>
      <c r="B63" s="5"/>
      <c r="C63" s="388" t="s">
        <v>104</v>
      </c>
      <c r="D63" s="323"/>
      <c r="E63" s="29">
        <f>+'1.Demonstração de Resultados'!E24</f>
        <v>40000</v>
      </c>
      <c r="F63" s="29">
        <f ca="1">+'1.Demonstração de Resultados'!F24</f>
        <v>48960</v>
      </c>
      <c r="G63" s="29">
        <f ca="1">+'1.Demonstração de Resultados'!G24</f>
        <v>59927.040000000001</v>
      </c>
      <c r="H63" s="29">
        <f ca="1">+'1.Demonstração de Resultados'!H24</f>
        <v>73350.696960000001</v>
      </c>
      <c r="I63" s="29">
        <f ca="1">+'1.Demonstração de Resultados'!I24</f>
        <v>89781.253079040005</v>
      </c>
      <c r="J63" s="29">
        <f ca="1">+'1.Demonstração de Resultados'!J24</f>
        <v>109892.25376874495</v>
      </c>
      <c r="K63" s="5"/>
    </row>
    <row r="64" spans="1:11" s="242" customFormat="1" ht="18" customHeight="1" x14ac:dyDescent="0.2">
      <c r="A64" s="5"/>
      <c r="B64" s="5"/>
      <c r="C64" s="388" t="s">
        <v>103</v>
      </c>
      <c r="D64" s="64"/>
      <c r="E64" s="453">
        <f ca="1">+'1.Demonstração de Resultados'!E28+('1.Demonstração de Resultados'!E26*(Pressupostos!$D$18+Pressupostos!$D$19))</f>
        <v>-9000</v>
      </c>
      <c r="F64" s="453">
        <f ca="1">+'1.Demonstração de Resultados'!F28+('1.Demonstração de Resultados'!F26*(Pressupostos!$D$18+Pressupostos!$D$19))</f>
        <v>-11016</v>
      </c>
      <c r="G64" s="453">
        <f ca="1">+'1.Demonstração de Resultados'!G28+('1.Demonstração de Resultados'!G26*(Pressupostos!$D$18+Pressupostos!$D$19))</f>
        <v>-13483.583999999999</v>
      </c>
      <c r="H64" s="453">
        <f ca="1">+'1.Demonstração de Resultados'!H28+('1.Demonstração de Resultados'!H26*(Pressupostos!$D$18+Pressupostos!$D$19))</f>
        <v>-16503.906815999999</v>
      </c>
      <c r="I64" s="453">
        <f ca="1">+'1.Demonstração de Resultados'!I28+('1.Demonstração de Resultados'!I26*(Pressupostos!$D$18+Pressupostos!$D$19))</f>
        <v>-20200.781942784</v>
      </c>
      <c r="J64" s="453">
        <f ca="1">+'1.Demonstração de Resultados'!J28+('1.Demonstração de Resultados'!J26*(Pressupostos!$D$18+Pressupostos!$D$19))</f>
        <v>-24725.757097967613</v>
      </c>
      <c r="K64" s="5"/>
    </row>
    <row r="65" spans="1:11" s="242" customFormat="1" ht="18" customHeight="1" x14ac:dyDescent="0.2">
      <c r="A65" s="5"/>
      <c r="B65" s="5"/>
      <c r="C65" s="390" t="s">
        <v>369</v>
      </c>
      <c r="D65" s="64"/>
      <c r="E65" s="29">
        <f>+'6. Investimento'!F36</f>
        <v>0</v>
      </c>
      <c r="F65" s="29">
        <f>+'6. Investimento'!G36</f>
        <v>0</v>
      </c>
      <c r="G65" s="29">
        <f>+'6. Investimento'!H36</f>
        <v>0</v>
      </c>
      <c r="H65" s="29">
        <f>+'6. Investimento'!I36</f>
        <v>0</v>
      </c>
      <c r="I65" s="29">
        <f>+'6. Investimento'!J36</f>
        <v>0</v>
      </c>
      <c r="J65" s="29">
        <f>+'6. Investimento'!K36</f>
        <v>0</v>
      </c>
      <c r="K65" s="5"/>
    </row>
    <row r="66" spans="1:11" s="242" customFormat="1" ht="18" customHeight="1" x14ac:dyDescent="0.2">
      <c r="A66" s="5"/>
      <c r="B66" s="5"/>
      <c r="C66" s="388" t="s">
        <v>244</v>
      </c>
      <c r="D66" s="315"/>
      <c r="E66" s="29">
        <f>-'5. Fundo de Maneio'!E25</f>
        <v>1533.3333333333333</v>
      </c>
      <c r="F66" s="29">
        <f>-'5. Fundo de Maneio'!F25</f>
        <v>343.46666666666692</v>
      </c>
      <c r="G66" s="29">
        <f>-'5. Fundo de Maneio'!G25</f>
        <v>420.4032000000002</v>
      </c>
      <c r="H66" s="29">
        <f>-'5. Fundo de Maneio'!H25</f>
        <v>514.57351680000011</v>
      </c>
      <c r="I66" s="29">
        <f>-'5. Fundo de Maneio'!I25</f>
        <v>629.83798456319983</v>
      </c>
      <c r="J66" s="29">
        <f>-'5. Fundo de Maneio'!J25</f>
        <v>770.92169310535655</v>
      </c>
      <c r="K66" s="5"/>
    </row>
    <row r="67" spans="1:11" s="242" customFormat="1" ht="18" customHeight="1" x14ac:dyDescent="0.2">
      <c r="A67" s="5"/>
      <c r="B67" s="5"/>
      <c r="C67" s="388" t="s">
        <v>102</v>
      </c>
      <c r="D67" s="65"/>
      <c r="E67" s="29">
        <f>-'6. Investimento'!F6</f>
        <v>0</v>
      </c>
      <c r="F67" s="29">
        <f>-'6. Investimento'!G6</f>
        <v>0</v>
      </c>
      <c r="G67" s="29">
        <f>-'6. Investimento'!H6</f>
        <v>0</v>
      </c>
      <c r="H67" s="29">
        <f>-'6. Investimento'!I6</f>
        <v>0</v>
      </c>
      <c r="I67" s="29">
        <f>-'6. Investimento'!J6</f>
        <v>0</v>
      </c>
      <c r="J67" s="29">
        <f>-'6. Investimento'!K6</f>
        <v>0</v>
      </c>
      <c r="K67" s="5"/>
    </row>
    <row r="68" spans="1:11" s="242" customFormat="1" ht="18" customHeight="1" x14ac:dyDescent="0.2">
      <c r="A68" s="5"/>
      <c r="B68" s="5"/>
      <c r="C68" s="184" t="s">
        <v>31</v>
      </c>
      <c r="D68" s="60"/>
      <c r="E68" s="255">
        <f t="shared" ref="E68:I68" ca="1" si="27">+SUM(E63:E67)</f>
        <v>32533.333333333332</v>
      </c>
      <c r="F68" s="255">
        <f t="shared" ca="1" si="27"/>
        <v>38287.466666666667</v>
      </c>
      <c r="G68" s="255">
        <f t="shared" ca="1" si="27"/>
        <v>46863.859200000006</v>
      </c>
      <c r="H68" s="255">
        <f t="shared" ca="1" si="27"/>
        <v>57361.363660800002</v>
      </c>
      <c r="I68" s="255">
        <f t="shared" ca="1" si="27"/>
        <v>70210.309120819205</v>
      </c>
      <c r="J68" s="255">
        <f ca="1">+SUM(J63:J67)</f>
        <v>85937.418363882694</v>
      </c>
      <c r="K68" s="450"/>
    </row>
    <row r="69" spans="1:11" s="242" customFormat="1" ht="18" customHeight="1" x14ac:dyDescent="0.2">
      <c r="A69" s="5"/>
      <c r="B69" s="5"/>
      <c r="C69" s="177" t="str">
        <f>+'1.Demonstração de Resultados'!C26</f>
        <v>Juros e Gastos Similares Suportados</v>
      </c>
      <c r="D69" s="315"/>
      <c r="E69" s="29">
        <f ca="1">+'1.Demonstração de Resultados'!E26</f>
        <v>0</v>
      </c>
      <c r="F69" s="29">
        <f ca="1">+'1.Demonstração de Resultados'!F26</f>
        <v>0</v>
      </c>
      <c r="G69" s="29">
        <f ca="1">+'1.Demonstração de Resultados'!G26</f>
        <v>0</v>
      </c>
      <c r="H69" s="29">
        <f ca="1">+'1.Demonstração de Resultados'!H26</f>
        <v>0</v>
      </c>
      <c r="I69" s="29">
        <f ca="1">+'1.Demonstração de Resultados'!I26</f>
        <v>0</v>
      </c>
      <c r="J69" s="29">
        <f ca="1">+'1.Demonstração de Resultados'!J26</f>
        <v>0</v>
      </c>
      <c r="K69" s="451"/>
    </row>
    <row r="70" spans="1:11" s="242" customFormat="1" ht="18" customHeight="1" x14ac:dyDescent="0.2">
      <c r="A70" s="5"/>
      <c r="B70" s="5"/>
      <c r="C70" s="504" t="s">
        <v>141</v>
      </c>
      <c r="D70" s="315"/>
      <c r="E70" s="29">
        <f>+Pressupostos!G280</f>
        <v>0</v>
      </c>
      <c r="F70" s="29">
        <f>+Pressupostos!H280</f>
        <v>0</v>
      </c>
      <c r="G70" s="29">
        <f>+Pressupostos!I280</f>
        <v>0</v>
      </c>
      <c r="H70" s="29">
        <f>+Pressupostos!J280</f>
        <v>0</v>
      </c>
      <c r="I70" s="29">
        <f>+Pressupostos!K280</f>
        <v>0</v>
      </c>
      <c r="J70" s="29">
        <f>+Pressupostos!L280</f>
        <v>0</v>
      </c>
      <c r="K70" s="451"/>
    </row>
    <row r="71" spans="1:11" s="242" customFormat="1" ht="18" customHeight="1" x14ac:dyDescent="0.2">
      <c r="A71" s="5"/>
      <c r="B71" s="5"/>
      <c r="C71" s="504" t="s">
        <v>370</v>
      </c>
      <c r="D71" s="324"/>
      <c r="E71" s="29">
        <f>-'7. Serviço da Dívida'!E9</f>
        <v>0</v>
      </c>
      <c r="F71" s="29">
        <f ca="1">-'7. Serviço da Dívida'!F9</f>
        <v>0</v>
      </c>
      <c r="G71" s="29">
        <f ca="1">-'7. Serviço da Dívida'!G9</f>
        <v>0</v>
      </c>
      <c r="H71" s="29">
        <f ca="1">-'7. Serviço da Dívida'!H9</f>
        <v>0</v>
      </c>
      <c r="I71" s="29">
        <f ca="1">-'7. Serviço da Dívida'!I9</f>
        <v>0</v>
      </c>
      <c r="J71" s="29">
        <f ca="1">-'7. Serviço da Dívida'!J9</f>
        <v>0</v>
      </c>
      <c r="K71" s="451"/>
    </row>
    <row r="72" spans="1:11" s="242" customFormat="1" ht="18" customHeight="1" x14ac:dyDescent="0.2">
      <c r="A72" s="5"/>
      <c r="B72" s="5"/>
      <c r="C72" s="184" t="s">
        <v>283</v>
      </c>
      <c r="D72" s="60"/>
      <c r="E72" s="255">
        <f t="shared" ref="E72:J72" ca="1" si="28">+E68+E69+E70+E71</f>
        <v>32533.333333333332</v>
      </c>
      <c r="F72" s="255">
        <f t="shared" ca="1" si="28"/>
        <v>38287.466666666667</v>
      </c>
      <c r="G72" s="255">
        <f t="shared" ca="1" si="28"/>
        <v>46863.859200000006</v>
      </c>
      <c r="H72" s="255">
        <f t="shared" ca="1" si="28"/>
        <v>57361.363660800002</v>
      </c>
      <c r="I72" s="255">
        <f t="shared" ca="1" si="28"/>
        <v>70210.309120819205</v>
      </c>
      <c r="J72" s="255">
        <f t="shared" ca="1" si="28"/>
        <v>85937.418363882694</v>
      </c>
      <c r="K72" s="5"/>
    </row>
    <row r="73" spans="1:11" s="242" customFormat="1" ht="18" customHeight="1" x14ac:dyDescent="0.2">
      <c r="C73" s="571" t="s">
        <v>334</v>
      </c>
      <c r="D73" s="50"/>
      <c r="E73" s="456"/>
      <c r="F73" s="457"/>
      <c r="G73" s="457"/>
      <c r="H73" s="457"/>
      <c r="I73" s="457"/>
      <c r="J73" s="454">
        <f>+'6. Investimento'!K21+'5. Fundo de Maneio'!J24</f>
        <v>-4212.5363944685569</v>
      </c>
      <c r="K73" s="458"/>
    </row>
    <row r="74" spans="1:11" s="242" customFormat="1" ht="18" customHeight="1" x14ac:dyDescent="0.2">
      <c r="C74" s="184" t="s">
        <v>665</v>
      </c>
      <c r="D74" s="398"/>
      <c r="E74" s="255">
        <f t="shared" ref="E74:J74" ca="1" si="29">+E72+E73</f>
        <v>32533.333333333332</v>
      </c>
      <c r="F74" s="255">
        <f t="shared" ca="1" si="29"/>
        <v>38287.466666666667</v>
      </c>
      <c r="G74" s="255">
        <f t="shared" ca="1" si="29"/>
        <v>46863.859200000006</v>
      </c>
      <c r="H74" s="255">
        <f t="shared" ca="1" si="29"/>
        <v>57361.363660800002</v>
      </c>
      <c r="I74" s="255">
        <f t="shared" ca="1" si="29"/>
        <v>70210.309120819205</v>
      </c>
      <c r="J74" s="255">
        <f t="shared" ca="1" si="29"/>
        <v>81724.881969414142</v>
      </c>
    </row>
    <row r="75" spans="1:11" s="242" customFormat="1" ht="18" customHeight="1" x14ac:dyDescent="0.2">
      <c r="A75" s="5"/>
      <c r="B75" s="5"/>
      <c r="C75" s="254" t="s">
        <v>32</v>
      </c>
      <c r="D75" s="40"/>
      <c r="E75" s="254"/>
      <c r="F75" s="254"/>
      <c r="G75" s="254"/>
      <c r="H75" s="254"/>
      <c r="I75" s="254"/>
      <c r="J75" s="392" t="e">
        <f ca="1">+(J72*(1+Pressupostos!D311))/((Pressupostos!D300-Pressupostos!D311))</f>
        <v>#DIV/0!</v>
      </c>
      <c r="K75" s="427"/>
    </row>
    <row r="76" spans="1:11" s="242" customFormat="1" ht="18" customHeight="1" x14ac:dyDescent="0.2">
      <c r="A76" s="5"/>
      <c r="B76" s="5"/>
      <c r="C76" s="184" t="s">
        <v>666</v>
      </c>
      <c r="D76" s="60"/>
      <c r="E76" s="255">
        <f t="shared" ref="E76:J76" ca="1" si="30">+E75+E72</f>
        <v>32533.333333333332</v>
      </c>
      <c r="F76" s="255">
        <f t="shared" ca="1" si="30"/>
        <v>38287.466666666667</v>
      </c>
      <c r="G76" s="255">
        <f t="shared" ca="1" si="30"/>
        <v>46863.859200000006</v>
      </c>
      <c r="H76" s="255">
        <f t="shared" ca="1" si="30"/>
        <v>57361.363660800002</v>
      </c>
      <c r="I76" s="255">
        <f t="shared" ca="1" si="30"/>
        <v>70210.309120819205</v>
      </c>
      <c r="J76" s="391" t="e">
        <f t="shared" ca="1" si="30"/>
        <v>#DIV/0!</v>
      </c>
      <c r="K76" s="428"/>
    </row>
    <row r="77" spans="1:11" s="242" customFormat="1" ht="18" customHeight="1" x14ac:dyDescent="0.2">
      <c r="A77" s="5"/>
      <c r="B77" s="5"/>
      <c r="C77" s="525" t="s">
        <v>780</v>
      </c>
      <c r="D77" s="387"/>
      <c r="E77" s="461">
        <v>1</v>
      </c>
      <c r="F77" s="461">
        <f>1/((1+Pressupostos!$D$300)^F5)</f>
        <v>1</v>
      </c>
      <c r="G77" s="461">
        <f>1/((1+Pressupostos!$D$300)^G5)</f>
        <v>1</v>
      </c>
      <c r="H77" s="461">
        <f>1/((1+Pressupostos!$D$300)^H5)</f>
        <v>1</v>
      </c>
      <c r="I77" s="461">
        <f>1/((1+Pressupostos!$D$300)^I5)</f>
        <v>1</v>
      </c>
      <c r="J77" s="461">
        <f>1/((1+Pressupostos!$D$300)^J5)</f>
        <v>1</v>
      </c>
      <c r="K77" s="427"/>
    </row>
    <row r="78" spans="1:11" s="574" customFormat="1" ht="6" customHeight="1" x14ac:dyDescent="0.2">
      <c r="A78" s="405"/>
      <c r="B78" s="405"/>
      <c r="C78" s="402"/>
      <c r="D78" s="403"/>
      <c r="E78" s="404">
        <f t="shared" ref="E78:J78" ca="1" si="31">+IF(E82&lt;0,"n/a",ABS(D82)/E81)</f>
        <v>0</v>
      </c>
      <c r="F78" s="404">
        <f t="shared" ca="1" si="31"/>
        <v>0.84971235147445978</v>
      </c>
      <c r="G78" s="404">
        <f t="shared" ca="1" si="31"/>
        <v>1.5112029015314212</v>
      </c>
      <c r="H78" s="404">
        <f t="shared" ca="1" si="31"/>
        <v>2.0516363574603118</v>
      </c>
      <c r="I78" s="404">
        <f t="shared" ca="1" si="31"/>
        <v>2.4931669587094047</v>
      </c>
      <c r="J78" s="404" t="e">
        <f t="shared" ca="1" si="31"/>
        <v>#DIV/0!</v>
      </c>
      <c r="K78" s="428"/>
    </row>
    <row r="79" spans="1:11" s="242" customFormat="1" ht="18" customHeight="1" x14ac:dyDescent="0.2">
      <c r="A79" s="5"/>
      <c r="B79" s="5"/>
      <c r="C79" s="395" t="s">
        <v>667</v>
      </c>
      <c r="D79" s="398"/>
      <c r="E79" s="255">
        <f t="shared" ref="E79:I79" ca="1" si="32">+E74*E77</f>
        <v>32533.333333333332</v>
      </c>
      <c r="F79" s="255">
        <f t="shared" ca="1" si="32"/>
        <v>38287.466666666667</v>
      </c>
      <c r="G79" s="255">
        <f t="shared" ca="1" si="32"/>
        <v>46863.859200000006</v>
      </c>
      <c r="H79" s="255">
        <f t="shared" ca="1" si="32"/>
        <v>57361.363660800002</v>
      </c>
      <c r="I79" s="255">
        <f t="shared" ca="1" si="32"/>
        <v>70210.309120819205</v>
      </c>
      <c r="J79" s="255">
        <f t="shared" ref="J79" ca="1" si="33">+J74*J77</f>
        <v>81724.881969414142</v>
      </c>
      <c r="K79" s="5"/>
    </row>
    <row r="80" spans="1:11" s="242" customFormat="1" ht="18" customHeight="1" x14ac:dyDescent="0.2">
      <c r="A80" s="5"/>
      <c r="B80" s="5"/>
      <c r="C80" s="184" t="s">
        <v>668</v>
      </c>
      <c r="D80" s="398"/>
      <c r="E80" s="400">
        <f ca="1">+D80+E79</f>
        <v>32533.333333333332</v>
      </c>
      <c r="F80" s="400">
        <f t="shared" ref="F80" ca="1" si="34">+E80+F79</f>
        <v>70820.800000000003</v>
      </c>
      <c r="G80" s="400">
        <f t="shared" ref="G80" ca="1" si="35">+F80+G79</f>
        <v>117684.65920000001</v>
      </c>
      <c r="H80" s="400">
        <f t="shared" ref="H80" ca="1" si="36">+G80+H79</f>
        <v>175046.0228608</v>
      </c>
      <c r="I80" s="400">
        <f t="shared" ref="I80:J80" ca="1" si="37">+H80+I79</f>
        <v>245256.33198161921</v>
      </c>
      <c r="J80" s="400">
        <f t="shared" ca="1" si="37"/>
        <v>326981.21395103337</v>
      </c>
      <c r="K80" s="5"/>
    </row>
    <row r="81" spans="1:11" s="242" customFormat="1" ht="18" customHeight="1" x14ac:dyDescent="0.2">
      <c r="A81" s="5"/>
      <c r="B81" s="5"/>
      <c r="C81" s="184" t="s">
        <v>669</v>
      </c>
      <c r="D81" s="387"/>
      <c r="E81" s="391">
        <f t="shared" ref="E81:J81" ca="1" si="38">+E76*E77</f>
        <v>32533.333333333332</v>
      </c>
      <c r="F81" s="391">
        <f t="shared" ca="1" si="38"/>
        <v>38287.466666666667</v>
      </c>
      <c r="G81" s="391">
        <f t="shared" ca="1" si="38"/>
        <v>46863.859200000006</v>
      </c>
      <c r="H81" s="391">
        <f t="shared" ca="1" si="38"/>
        <v>57361.363660800002</v>
      </c>
      <c r="I81" s="391">
        <f t="shared" ca="1" si="38"/>
        <v>70210.309120819205</v>
      </c>
      <c r="J81" s="391" t="e">
        <f t="shared" ca="1" si="38"/>
        <v>#DIV/0!</v>
      </c>
      <c r="K81" s="428"/>
    </row>
    <row r="82" spans="1:11" s="242" customFormat="1" ht="18" customHeight="1" x14ac:dyDescent="0.2">
      <c r="A82" s="5"/>
      <c r="B82" s="5"/>
      <c r="C82" s="184" t="s">
        <v>670</v>
      </c>
      <c r="D82" s="387"/>
      <c r="E82" s="401">
        <f ca="1">+D82+E81</f>
        <v>32533.333333333332</v>
      </c>
      <c r="F82" s="401">
        <f t="shared" ref="F82:J82" ca="1" si="39">+E82+F81</f>
        <v>70820.800000000003</v>
      </c>
      <c r="G82" s="401">
        <f t="shared" ca="1" si="39"/>
        <v>117684.65920000001</v>
      </c>
      <c r="H82" s="401">
        <f t="shared" ca="1" si="39"/>
        <v>175046.0228608</v>
      </c>
      <c r="I82" s="401">
        <f t="shared" ca="1" si="39"/>
        <v>245256.33198161921</v>
      </c>
      <c r="J82" s="401" t="e">
        <f t="shared" ca="1" si="39"/>
        <v>#DIV/0!</v>
      </c>
      <c r="K82" s="428"/>
    </row>
    <row r="83" spans="1:11" s="574" customFormat="1" ht="12" customHeight="1" x14ac:dyDescent="0.2">
      <c r="A83" s="405"/>
      <c r="B83" s="405"/>
      <c r="C83" s="402"/>
      <c r="D83" s="403"/>
      <c r="E83" s="404">
        <f t="shared" ref="E83:J83" ca="1" si="40">+IF(E80&lt;0,"n/a",ABS(D80)/E79)</f>
        <v>0</v>
      </c>
      <c r="F83" s="404">
        <f t="shared" ca="1" si="40"/>
        <v>0.84971235147445978</v>
      </c>
      <c r="G83" s="404">
        <f t="shared" ca="1" si="40"/>
        <v>1.5112029015314212</v>
      </c>
      <c r="H83" s="404">
        <f t="shared" ca="1" si="40"/>
        <v>2.0516363574603118</v>
      </c>
      <c r="I83" s="404">
        <f t="shared" ca="1" si="40"/>
        <v>2.4931669587094047</v>
      </c>
      <c r="J83" s="404">
        <f t="shared" ca="1" si="40"/>
        <v>3.0009995251312489</v>
      </c>
      <c r="K83" s="428"/>
    </row>
    <row r="84" spans="1:11" s="176" customFormat="1" ht="18" customHeight="1" x14ac:dyDescent="0.25">
      <c r="A84" s="79"/>
      <c r="B84" s="79"/>
      <c r="C84" s="343" t="s">
        <v>57</v>
      </c>
      <c r="D84" s="344"/>
      <c r="E84" s="524" t="s">
        <v>428</v>
      </c>
      <c r="F84" s="524" t="s">
        <v>431</v>
      </c>
      <c r="G84" s="252"/>
      <c r="H84" s="252"/>
      <c r="I84" s="252"/>
      <c r="J84" s="253"/>
      <c r="K84" s="428"/>
    </row>
    <row r="85" spans="1:11" s="242" customFormat="1" ht="18" customHeight="1" x14ac:dyDescent="0.2">
      <c r="C85" s="14" t="s">
        <v>56</v>
      </c>
      <c r="D85" s="406"/>
      <c r="E85" s="418">
        <f ca="1">+SUM(E79:J79)</f>
        <v>326981.21395103337</v>
      </c>
      <c r="F85" s="418" t="e">
        <f ca="1">+SUM(E81:J81)</f>
        <v>#DIV/0!</v>
      </c>
      <c r="G85" s="257"/>
      <c r="H85" s="257"/>
      <c r="I85" s="257"/>
      <c r="J85" s="257"/>
    </row>
    <row r="86" spans="1:11" s="242" customFormat="1" ht="18" customHeight="1" x14ac:dyDescent="0.2">
      <c r="C86" s="419" t="s">
        <v>34</v>
      </c>
      <c r="D86" s="420"/>
      <c r="E86" s="729" t="e">
        <f ca="1">IRR(E74:J74)</f>
        <v>#NUM!</v>
      </c>
      <c r="F86" s="729" t="e">
        <f ca="1">+IRR(E76:J76)</f>
        <v>#VALUE!</v>
      </c>
      <c r="G86" s="257"/>
      <c r="H86" s="257"/>
      <c r="I86" s="257"/>
      <c r="J86" s="257"/>
    </row>
    <row r="87" spans="1:11" s="242" customFormat="1" ht="18" customHeight="1" x14ac:dyDescent="0.2">
      <c r="C87" s="419" t="s">
        <v>7</v>
      </c>
      <c r="D87" s="420"/>
      <c r="E87" s="421">
        <f ca="1">+COUNTIF(E80:J80,"&lt;0")+INDEX(E83:J83,,COUNTIF(E80:J80,"&lt;0")+1)</f>
        <v>0</v>
      </c>
      <c r="F87" s="421">
        <f ca="1">+COUNTIF(E82:J82,"&lt;0")+INDEX(E78:J78,,COUNTIF(E82:J82,"&lt;0")+1)</f>
        <v>0</v>
      </c>
      <c r="G87" s="259" t="s">
        <v>239</v>
      </c>
      <c r="H87" s="257"/>
      <c r="I87" s="257"/>
      <c r="J87" s="257"/>
    </row>
    <row r="88" spans="1:11" ht="9.75" customHeight="1" x14ac:dyDescent="0.2">
      <c r="C88" s="407"/>
      <c r="D88" s="408"/>
    </row>
    <row r="89" spans="1:11" ht="20.25" customHeight="1" x14ac:dyDescent="0.2">
      <c r="C89" s="463" t="s">
        <v>321</v>
      </c>
      <c r="D89" s="421"/>
      <c r="E89" s="436">
        <f>+J73</f>
        <v>-4212.5363944685569</v>
      </c>
      <c r="F89" s="437" t="s">
        <v>322</v>
      </c>
    </row>
    <row r="90" spans="1:11" ht="20.25" customHeight="1" x14ac:dyDescent="0.2">
      <c r="C90" s="463" t="s">
        <v>426</v>
      </c>
      <c r="D90" s="421"/>
      <c r="E90" s="436" t="e">
        <f ca="1">+J75</f>
        <v>#DIV/0!</v>
      </c>
    </row>
    <row r="91" spans="1:11" ht="20.25" customHeight="1" x14ac:dyDescent="0.2">
      <c r="C91" s="414"/>
      <c r="D91" s="408"/>
    </row>
    <row r="92" spans="1:11" s="425" customFormat="1" ht="20.25" customHeight="1" x14ac:dyDescent="0.2">
      <c r="C92" s="526" t="s">
        <v>311</v>
      </c>
      <c r="D92" s="527"/>
      <c r="E92" s="528"/>
      <c r="F92" s="527"/>
      <c r="G92" s="527"/>
      <c r="H92" s="527"/>
      <c r="I92" s="527"/>
      <c r="J92" s="527"/>
      <c r="K92" s="427"/>
    </row>
    <row r="93" spans="1:11" s="425" customFormat="1" ht="20.25" customHeight="1" x14ac:dyDescent="0.2">
      <c r="C93" s="529" t="s">
        <v>331</v>
      </c>
      <c r="D93" s="530"/>
      <c r="E93" s="531">
        <f ca="1">+'2. Balanço'!E40+'2. Balanço'!E48-'2. Balanço'!E28</f>
        <v>-32533.333333333332</v>
      </c>
      <c r="F93" s="531">
        <f ca="1">+'2. Balanço'!F40+'2. Balanço'!F48-'2. Balanço'!F28</f>
        <v>-70820.800000000003</v>
      </c>
      <c r="G93" s="531">
        <f ca="1">+'2. Balanço'!G40+'2. Balanço'!G48-'2. Balanço'!G28</f>
        <v>-117684.65920000001</v>
      </c>
      <c r="H93" s="531">
        <f ca="1">+'2. Balanço'!H40+'2. Balanço'!H48-'2. Balanço'!H28</f>
        <v>-175046.0228608</v>
      </c>
      <c r="I93" s="531">
        <f ca="1">+'2. Balanço'!I40+'2. Balanço'!I48-'2. Balanço'!I28</f>
        <v>-245256.33198161921</v>
      </c>
      <c r="J93" s="531">
        <f ca="1">+'2. Balanço'!J40+'2. Balanço'!J48-'2. Balanço'!J28</f>
        <v>-331193.75034550193</v>
      </c>
      <c r="K93" s="112"/>
    </row>
    <row r="94" spans="1:11" s="425" customFormat="1" ht="20.25" customHeight="1" x14ac:dyDescent="0.2">
      <c r="C94" s="532" t="s">
        <v>4</v>
      </c>
      <c r="D94" s="530"/>
      <c r="E94" s="533">
        <f ca="1">+'2. Balanço'!E30</f>
        <v>31000</v>
      </c>
      <c r="F94" s="533">
        <f ca="1">+'2. Balanço'!F30</f>
        <v>68944</v>
      </c>
      <c r="G94" s="533">
        <f ca="1">+'2. Balanço'!G30</f>
        <v>115387.45600000001</v>
      </c>
      <c r="H94" s="533">
        <f ca="1">+'2. Balanço'!H30</f>
        <v>172234.246144</v>
      </c>
      <c r="I94" s="533">
        <f ca="1">+'2. Balanço'!I30</f>
        <v>241814.71728025601</v>
      </c>
      <c r="J94" s="533">
        <f ca="1">+'2. Balanço'!J30</f>
        <v>326981.21395103337</v>
      </c>
      <c r="K94" s="112"/>
    </row>
    <row r="95" spans="1:11" s="425" customFormat="1" ht="20.25" customHeight="1" x14ac:dyDescent="0.2">
      <c r="C95" s="534" t="s">
        <v>312</v>
      </c>
      <c r="D95" s="535"/>
      <c r="E95" s="536">
        <f ca="1">+E93+E94</f>
        <v>-1533.3333333333321</v>
      </c>
      <c r="F95" s="536">
        <f t="shared" ref="F95:I95" ca="1" si="41">+F93+F94</f>
        <v>-1876.8000000000029</v>
      </c>
      <c r="G95" s="536">
        <f t="shared" ca="1" si="41"/>
        <v>-2297.2032000000036</v>
      </c>
      <c r="H95" s="536">
        <f t="shared" ca="1" si="41"/>
        <v>-2811.7767167999991</v>
      </c>
      <c r="I95" s="536">
        <f t="shared" ca="1" si="41"/>
        <v>-3441.6147013631999</v>
      </c>
      <c r="J95" s="536">
        <f t="shared" ref="J95" ca="1" si="42">+J93+J94</f>
        <v>-4212.5363944685669</v>
      </c>
      <c r="K95" s="112"/>
    </row>
    <row r="96" spans="1:11" s="425" customFormat="1" ht="20.25" customHeight="1" x14ac:dyDescent="0.2">
      <c r="C96" s="537" t="s">
        <v>371</v>
      </c>
      <c r="D96" s="538"/>
      <c r="E96" s="539">
        <f ca="1">+(E93/E95)</f>
        <v>21.217391304347842</v>
      </c>
      <c r="F96" s="539">
        <f t="shared" ref="F96:I96" ca="1" si="43">+(F93/F95)</f>
        <v>37.734867860187499</v>
      </c>
      <c r="G96" s="539">
        <f t="shared" ca="1" si="43"/>
        <v>51.229538248945424</v>
      </c>
      <c r="H96" s="539">
        <f t="shared" ca="1" si="43"/>
        <v>62.254595756100706</v>
      </c>
      <c r="I96" s="539">
        <f t="shared" ca="1" si="43"/>
        <v>71.261995680247082</v>
      </c>
      <c r="J96" s="539">
        <f t="shared" ref="J96" ca="1" si="44">+(J93/J95)</f>
        <v>78.62098254637958</v>
      </c>
      <c r="K96" s="112"/>
    </row>
    <row r="97" spans="2:11" s="425" customFormat="1" ht="20.25" customHeight="1" x14ac:dyDescent="0.2">
      <c r="C97" s="540" t="s">
        <v>313</v>
      </c>
      <c r="D97" s="541"/>
      <c r="E97" s="542">
        <f ca="1">+E94/E95</f>
        <v>-20.217391304347842</v>
      </c>
      <c r="F97" s="542">
        <f t="shared" ref="F97:I97" ca="1" si="45">+F94/F95</f>
        <v>-36.734867860187499</v>
      </c>
      <c r="G97" s="542">
        <f t="shared" ca="1" si="45"/>
        <v>-50.229538248945424</v>
      </c>
      <c r="H97" s="542">
        <f t="shared" ca="1" si="45"/>
        <v>-61.254595756100706</v>
      </c>
      <c r="I97" s="542">
        <f t="shared" ca="1" si="45"/>
        <v>-70.261995680247082</v>
      </c>
      <c r="J97" s="542">
        <f t="shared" ref="J97" ca="1" si="46">+J94/J95</f>
        <v>-77.62098254637958</v>
      </c>
      <c r="K97" s="112"/>
    </row>
    <row r="98" spans="2:11" s="425" customFormat="1" ht="5.25" customHeight="1" x14ac:dyDescent="0.2">
      <c r="C98" s="543"/>
      <c r="D98" s="544"/>
      <c r="E98" s="545"/>
      <c r="F98" s="544"/>
      <c r="G98" s="544"/>
      <c r="H98" s="544"/>
      <c r="I98" s="544"/>
      <c r="J98" s="544"/>
      <c r="K98" s="112"/>
    </row>
    <row r="99" spans="2:11" s="425" customFormat="1" ht="20.25" customHeight="1" x14ac:dyDescent="0.2">
      <c r="C99" s="546" t="s">
        <v>451</v>
      </c>
      <c r="D99" s="547"/>
      <c r="E99" s="548">
        <f ca="1">+Pressupostos!$D$302*(1+(Pressupostos!$D$18))*'3. Avaliação Financeira'!E93/'3. Avaliação Financeira'!E94</f>
        <v>0</v>
      </c>
      <c r="F99" s="548">
        <f ca="1">+Pressupostos!$D$302*(1+(Pressupostos!$D$18))*'3. Avaliação Financeira'!F93/'3. Avaliação Financeira'!F94</f>
        <v>0</v>
      </c>
      <c r="G99" s="548">
        <f ca="1">+Pressupostos!$D$302*(1+(Pressupostos!$D$18))*'3. Avaliação Financeira'!G93/'3. Avaliação Financeira'!G94</f>
        <v>0</v>
      </c>
      <c r="H99" s="548">
        <f ca="1">+Pressupostos!$D$302*(1+(Pressupostos!$D$18))*'3. Avaliação Financeira'!H93/'3. Avaliação Financeira'!H94</f>
        <v>0</v>
      </c>
      <c r="I99" s="548">
        <f ca="1">+Pressupostos!$D$302*(1+(Pressupostos!$D$18))*'3. Avaliação Financeira'!I93/'3. Avaliação Financeira'!I94</f>
        <v>0</v>
      </c>
      <c r="J99" s="548">
        <f ca="1">+Pressupostos!$D$302*(1+(Pressupostos!$D$18))*'3. Avaliação Financeira'!J93/'3. Avaliação Financeira'!J94</f>
        <v>0</v>
      </c>
      <c r="K99" s="112"/>
    </row>
    <row r="100" spans="2:11" s="425" customFormat="1" ht="20.25" customHeight="1" x14ac:dyDescent="0.2">
      <c r="C100" s="543" t="s">
        <v>414</v>
      </c>
      <c r="D100" s="549"/>
      <c r="E100" s="550" t="s">
        <v>314</v>
      </c>
      <c r="F100" s="551"/>
      <c r="G100" s="544"/>
      <c r="H100" s="544"/>
      <c r="I100" s="544"/>
      <c r="J100" s="544"/>
      <c r="K100" s="112"/>
    </row>
    <row r="101" spans="2:11" s="425" customFormat="1" ht="20.25" customHeight="1" x14ac:dyDescent="0.2">
      <c r="C101" s="540" t="s">
        <v>315</v>
      </c>
      <c r="D101" s="552"/>
      <c r="E101" s="542">
        <f>+Pressupostos!D306</f>
        <v>0</v>
      </c>
      <c r="F101" s="542">
        <f>+Pressupostos!$D$306</f>
        <v>0</v>
      </c>
      <c r="G101" s="542">
        <f>+Pressupostos!$D$306</f>
        <v>0</v>
      </c>
      <c r="H101" s="542">
        <f>+Pressupostos!$D$306</f>
        <v>0</v>
      </c>
      <c r="I101" s="542">
        <f>+Pressupostos!$D$306</f>
        <v>0</v>
      </c>
      <c r="J101" s="542">
        <f>+Pressupostos!$D$306</f>
        <v>0</v>
      </c>
      <c r="K101" s="112"/>
    </row>
    <row r="102" spans="2:11" s="425" customFormat="1" ht="20.25" customHeight="1" x14ac:dyDescent="0.2">
      <c r="C102" s="540" t="s">
        <v>316</v>
      </c>
      <c r="D102" s="538"/>
      <c r="E102" s="542">
        <f>+Pressupostos!D305</f>
        <v>0</v>
      </c>
      <c r="F102" s="542">
        <f>+F101*(1-Pressupostos!$D$18)</f>
        <v>0</v>
      </c>
      <c r="G102" s="542">
        <f>+G101*(1-Pressupostos!$D$18)</f>
        <v>0</v>
      </c>
      <c r="H102" s="542">
        <f>+H101*(1-Pressupostos!$D$18)</f>
        <v>0</v>
      </c>
      <c r="I102" s="542">
        <f>+I101*(1-Pressupostos!$D$18)</f>
        <v>0</v>
      </c>
      <c r="J102" s="542">
        <f>+J101*(1-Pressupostos!$D$18)</f>
        <v>0</v>
      </c>
      <c r="K102" s="112"/>
    </row>
    <row r="103" spans="2:11" s="425" customFormat="1" ht="20.25" customHeight="1" x14ac:dyDescent="0.2">
      <c r="C103" s="540" t="s">
        <v>452</v>
      </c>
      <c r="D103" s="538"/>
      <c r="E103" s="542">
        <f>+Pressupostos!D300</f>
        <v>0</v>
      </c>
      <c r="F103" s="542">
        <f>+Pressupostos!$D$301*(1+Pressupostos!H36)+(Pressupostos!$D$302*Pressupostos!$D$303)</f>
        <v>0</v>
      </c>
      <c r="G103" s="542">
        <f>+Pressupostos!$D$301*(1+Pressupostos!I36)+(Pressupostos!$D$302*Pressupostos!$D$303)</f>
        <v>0</v>
      </c>
      <c r="H103" s="542">
        <f>+Pressupostos!$D$301*(1+Pressupostos!J36)+(Pressupostos!$D$302*Pressupostos!$D$303)</f>
        <v>0</v>
      </c>
      <c r="I103" s="542">
        <f>+Pressupostos!$D$301*(1+Pressupostos!K36)+(Pressupostos!$D$302*Pressupostos!$D$303)</f>
        <v>0</v>
      </c>
      <c r="J103" s="542">
        <f>+Pressupostos!$D$301*(1+Pressupostos!L36)+(Pressupostos!$D$302*Pressupostos!$D$303)</f>
        <v>0</v>
      </c>
      <c r="K103" s="112"/>
    </row>
    <row r="104" spans="2:11" s="426" customFormat="1" ht="20.25" customHeight="1" x14ac:dyDescent="0.25">
      <c r="C104" s="534" t="s">
        <v>415</v>
      </c>
      <c r="D104" s="553"/>
      <c r="E104" s="554">
        <f ca="1">+(E103*E97)+(E102*E96)</f>
        <v>0</v>
      </c>
      <c r="F104" s="554">
        <f t="shared" ref="F104:J104" ca="1" si="47">+F103*F97+F102*F96</f>
        <v>0</v>
      </c>
      <c r="G104" s="554">
        <f t="shared" ca="1" si="47"/>
        <v>0</v>
      </c>
      <c r="H104" s="554">
        <f t="shared" ca="1" si="47"/>
        <v>0</v>
      </c>
      <c r="I104" s="554">
        <f t="shared" ca="1" si="47"/>
        <v>0</v>
      </c>
      <c r="J104" s="554">
        <f t="shared" ca="1" si="47"/>
        <v>0</v>
      </c>
      <c r="K104" s="412"/>
    </row>
    <row r="105" spans="2:11" ht="20.25" customHeight="1" x14ac:dyDescent="0.2">
      <c r="C105" s="415"/>
      <c r="D105" s="125"/>
      <c r="E105" s="413"/>
      <c r="F105" s="413"/>
      <c r="G105" s="413"/>
      <c r="H105" s="413"/>
      <c r="I105" s="413"/>
      <c r="J105" s="413"/>
    </row>
    <row r="106" spans="2:11" ht="20.25" customHeight="1" x14ac:dyDescent="0.2">
      <c r="C106" s="414"/>
      <c r="D106" s="410"/>
      <c r="E106" s="411"/>
      <c r="F106" s="411"/>
      <c r="G106" s="411"/>
      <c r="H106" s="411"/>
      <c r="I106" s="411"/>
      <c r="J106" s="411"/>
    </row>
    <row r="107" spans="2:11" ht="20.25" customHeight="1" x14ac:dyDescent="0.2">
      <c r="C107" s="407"/>
      <c r="D107" s="408"/>
    </row>
    <row r="108" spans="2:11" customFormat="1" ht="15" x14ac:dyDescent="0.25">
      <c r="B108" s="21"/>
      <c r="C108" s="684" t="s">
        <v>660</v>
      </c>
      <c r="D108" s="685"/>
      <c r="E108" s="7"/>
    </row>
    <row r="109" spans="2:11" customFormat="1" ht="15" x14ac:dyDescent="0.25">
      <c r="B109" s="21"/>
      <c r="D109" s="685"/>
      <c r="E109" s="7"/>
    </row>
    <row r="110" spans="2:11" customFormat="1" ht="15" x14ac:dyDescent="0.25">
      <c r="B110" s="21"/>
      <c r="D110" s="685"/>
      <c r="E110" s="7"/>
    </row>
    <row r="111" spans="2:11" customFormat="1" ht="15" x14ac:dyDescent="0.25">
      <c r="B111" s="21"/>
      <c r="D111" s="685"/>
      <c r="E111" s="7"/>
    </row>
    <row r="112" spans="2:11" customFormat="1" ht="15" x14ac:dyDescent="0.25">
      <c r="B112" s="21"/>
      <c r="D112" s="685"/>
      <c r="E112" s="7"/>
    </row>
    <row r="113" spans="3:10" ht="20.25" customHeight="1" x14ac:dyDescent="0.2">
      <c r="C113" s="414"/>
      <c r="D113" s="410"/>
      <c r="E113" s="411"/>
      <c r="F113" s="411"/>
      <c r="G113" s="411"/>
      <c r="H113" s="411"/>
      <c r="I113" s="411"/>
      <c r="J113" s="411"/>
    </row>
    <row r="114" spans="3:10" ht="20.25" customHeight="1" x14ac:dyDescent="0.2">
      <c r="C114" s="416"/>
      <c r="D114" s="416"/>
    </row>
    <row r="115" spans="3:10" ht="20.25" customHeight="1" x14ac:dyDescent="0.2">
      <c r="C115" s="416"/>
      <c r="D115" s="416"/>
    </row>
    <row r="116" spans="3:10" ht="20.25" customHeight="1" x14ac:dyDescent="0.2">
      <c r="C116" s="416"/>
      <c r="D116" s="416"/>
    </row>
    <row r="117" spans="3:10" ht="20.25" customHeight="1" x14ac:dyDescent="0.2">
      <c r="C117" s="407"/>
      <c r="D117" s="408"/>
    </row>
    <row r="131" spans="9:9" ht="20.25" customHeight="1" x14ac:dyDescent="0.2">
      <c r="I131" s="417"/>
    </row>
    <row r="132" spans="9:9" ht="20.25" customHeight="1" x14ac:dyDescent="0.2">
      <c r="I132" s="417"/>
    </row>
    <row r="133" spans="9:9" ht="20.25" customHeight="1" x14ac:dyDescent="0.2">
      <c r="I133" s="417"/>
    </row>
    <row r="134" spans="9:9" ht="20.25" customHeight="1" x14ac:dyDescent="0.2">
      <c r="I134" s="417"/>
    </row>
    <row r="135" spans="9:9" ht="20.25" customHeight="1" x14ac:dyDescent="0.2">
      <c r="I135" s="417"/>
    </row>
    <row r="136" spans="9:9" ht="20.25" customHeight="1" x14ac:dyDescent="0.2">
      <c r="I136" s="417"/>
    </row>
    <row r="137" spans="9:9" ht="20.25" customHeight="1" x14ac:dyDescent="0.2">
      <c r="I137" s="417"/>
    </row>
    <row r="138" spans="9:9" ht="20.25" customHeight="1" x14ac:dyDescent="0.2">
      <c r="I138" s="417"/>
    </row>
    <row r="139" spans="9:9" ht="20.25" customHeight="1" x14ac:dyDescent="0.2">
      <c r="I139" s="417"/>
    </row>
    <row r="140" spans="9:9" ht="20.25" customHeight="1" x14ac:dyDescent="0.2">
      <c r="I140" s="417"/>
    </row>
    <row r="141" spans="9:9" ht="20.25" customHeight="1" x14ac:dyDescent="0.2">
      <c r="I141" s="417"/>
    </row>
    <row r="142" spans="9:9" ht="20.25" customHeight="1" x14ac:dyDescent="0.2">
      <c r="I142" s="417"/>
    </row>
    <row r="143" spans="9:9" ht="20.25" customHeight="1" x14ac:dyDescent="0.2">
      <c r="I143" s="417"/>
    </row>
    <row r="144" spans="9:9" ht="20.25" customHeight="1" x14ac:dyDescent="0.2">
      <c r="I144" s="417"/>
    </row>
    <row r="145" spans="9:9" ht="20.25" customHeight="1" x14ac:dyDescent="0.2">
      <c r="I145" s="417"/>
    </row>
    <row r="146" spans="9:9" ht="20.25" customHeight="1" x14ac:dyDescent="0.2">
      <c r="I146" s="417"/>
    </row>
    <row r="147" spans="9:9" ht="20.25" customHeight="1" x14ac:dyDescent="0.2">
      <c r="I147" s="417"/>
    </row>
    <row r="148" spans="9:9" ht="20.25" customHeight="1" x14ac:dyDescent="0.2">
      <c r="I148" s="417"/>
    </row>
    <row r="149" spans="9:9" ht="20.25" customHeight="1" x14ac:dyDescent="0.2">
      <c r="I149" s="417"/>
    </row>
    <row r="150" spans="9:9" ht="20.25" customHeight="1" x14ac:dyDescent="0.2">
      <c r="I150" s="417"/>
    </row>
    <row r="151" spans="9:9" ht="20.25" customHeight="1" x14ac:dyDescent="0.2">
      <c r="I151" s="417"/>
    </row>
    <row r="152" spans="9:9" ht="20.25" customHeight="1" x14ac:dyDescent="0.2">
      <c r="I152" s="417"/>
    </row>
    <row r="153" spans="9:9" ht="20.25" customHeight="1" x14ac:dyDescent="0.2">
      <c r="I153" s="417"/>
    </row>
    <row r="154" spans="9:9" ht="20.25" customHeight="1" x14ac:dyDescent="0.2">
      <c r="I154" s="417"/>
    </row>
    <row r="155" spans="9:9" ht="20.25" customHeight="1" x14ac:dyDescent="0.2">
      <c r="I155" s="417"/>
    </row>
    <row r="156" spans="9:9" ht="20.25" customHeight="1" x14ac:dyDescent="0.2">
      <c r="I156" s="417"/>
    </row>
    <row r="157" spans="9:9" ht="20.25" customHeight="1" x14ac:dyDescent="0.2">
      <c r="I157" s="417"/>
    </row>
    <row r="158" spans="9:9" ht="20.25" customHeight="1" x14ac:dyDescent="0.2">
      <c r="I158" s="417"/>
    </row>
    <row r="159" spans="9:9" ht="20.25" customHeight="1" x14ac:dyDescent="0.2">
      <c r="I159" s="417"/>
    </row>
    <row r="160" spans="9:9" ht="20.25" customHeight="1" x14ac:dyDescent="0.2">
      <c r="I160" s="417"/>
    </row>
    <row r="161" spans="9:9" ht="20.25" customHeight="1" x14ac:dyDescent="0.2">
      <c r="I161" s="417"/>
    </row>
    <row r="162" spans="9:9" ht="20.25" customHeight="1" x14ac:dyDescent="0.2">
      <c r="I162" s="417"/>
    </row>
    <row r="163" spans="9:9" ht="20.25" customHeight="1" x14ac:dyDescent="0.2">
      <c r="I163" s="417"/>
    </row>
    <row r="164" spans="9:9" ht="20.25" customHeight="1" x14ac:dyDescent="0.2">
      <c r="I164" s="417"/>
    </row>
    <row r="165" spans="9:9" ht="20.25" customHeight="1" x14ac:dyDescent="0.2">
      <c r="I165" s="417"/>
    </row>
    <row r="166" spans="9:9" ht="20.25" customHeight="1" x14ac:dyDescent="0.2">
      <c r="I166" s="417"/>
    </row>
    <row r="167" spans="9:9" ht="20.25" customHeight="1" x14ac:dyDescent="0.2">
      <c r="I167" s="417"/>
    </row>
    <row r="168" spans="9:9" ht="20.25" customHeight="1" x14ac:dyDescent="0.2">
      <c r="I168" s="417"/>
    </row>
    <row r="169" spans="9:9" ht="20.25" customHeight="1" x14ac:dyDescent="0.2">
      <c r="I169" s="417"/>
    </row>
    <row r="170" spans="9:9" ht="20.25" customHeight="1" x14ac:dyDescent="0.2">
      <c r="I170" s="417"/>
    </row>
    <row r="171" spans="9:9" ht="20.25" customHeight="1" x14ac:dyDescent="0.2">
      <c r="I171" s="417"/>
    </row>
  </sheetData>
  <sheetProtection algorithmName="SHA-512" hashValue="Wpd8fEx/TTnN7TSekKQrSEJ9zTtHIbFc/XGlU3YcR7qqFrM7tojqNqrZTBjQ7b0fPwXaJ8l03v6Sn1lR5lMDsQ==" saltValue="PNXhIFd4q7u9ee/gKzcs9w==" spinCount="100000" sheet="1" formatCells="0" formatColumns="0" formatRows="0" insertColumns="0" insertRows="0" insertHyperlinks="0" deleteColumns="0" deleteRows="0" sort="0" autoFilter="0" pivotTables="0"/>
  <mergeCells count="3">
    <mergeCell ref="E34:J34"/>
    <mergeCell ref="E61:J61"/>
    <mergeCell ref="E7:J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J81 E23 F23:J23 E50 F50:J50" formula="1"/>
    <ignoredError sqref="J75:J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M78"/>
  <sheetViews>
    <sheetView showGridLines="0" zoomScale="80" zoomScaleNormal="80" workbookViewId="0">
      <pane xSplit="3" ySplit="4" topLeftCell="D17" activePane="bottomRight" state="frozen"/>
      <selection pane="topRight" activeCell="E1" sqref="E1"/>
      <selection pane="bottomLeft" activeCell="A5" sqref="A5"/>
      <selection pane="bottomRight" activeCell="K36" sqref="K36"/>
    </sheetView>
  </sheetViews>
  <sheetFormatPr defaultColWidth="9.140625" defaultRowHeight="12.75" x14ac:dyDescent="0.2"/>
  <cols>
    <col min="1" max="1" width="0.85546875" style="5" customWidth="1"/>
    <col min="2" max="2" width="5" style="5" customWidth="1"/>
    <col min="3" max="3" width="58.85546875" style="5" customWidth="1"/>
    <col min="4" max="4" width="5.85546875" style="5" customWidth="1"/>
    <col min="5" max="5" width="15.85546875" style="35" bestFit="1" customWidth="1"/>
    <col min="6" max="10" width="13.140625" style="35" bestFit="1" customWidth="1"/>
    <col min="11" max="11" width="62.140625" style="80" customWidth="1"/>
    <col min="12" max="12" width="25.85546875" style="81" customWidth="1"/>
    <col min="13" max="16384" width="9.140625" style="5"/>
  </cols>
  <sheetData>
    <row r="2" spans="3:12" ht="13.5" thickBot="1" x14ac:dyDescent="0.25">
      <c r="C2" s="36" t="s">
        <v>686</v>
      </c>
      <c r="D2" s="38"/>
      <c r="E2" s="38"/>
      <c r="F2" s="38"/>
      <c r="G2" s="38"/>
      <c r="H2" s="38"/>
      <c r="I2" s="38"/>
      <c r="J2" s="38"/>
    </row>
    <row r="3" spans="3:12" ht="13.5" thickTop="1" x14ac:dyDescent="0.2"/>
    <row r="4" spans="3:12" ht="13.5" thickBot="1" x14ac:dyDescent="0.25">
      <c r="C4" s="82" t="str">
        <f>+Capa!C13</f>
        <v>Gaming’Us</v>
      </c>
      <c r="D4" s="37"/>
      <c r="E4" s="39">
        <f>+AnoN</f>
        <v>2023</v>
      </c>
      <c r="F4" s="39">
        <f>+E4+1</f>
        <v>2024</v>
      </c>
      <c r="G4" s="39">
        <f t="shared" ref="G4:J4" si="0">+F4+1</f>
        <v>2025</v>
      </c>
      <c r="H4" s="39">
        <f t="shared" si="0"/>
        <v>2026</v>
      </c>
      <c r="I4" s="39">
        <f t="shared" si="0"/>
        <v>2027</v>
      </c>
      <c r="J4" s="39">
        <f t="shared" si="0"/>
        <v>2028</v>
      </c>
      <c r="K4" s="83" t="s">
        <v>87</v>
      </c>
      <c r="L4" s="84" t="s">
        <v>88</v>
      </c>
    </row>
    <row r="5" spans="3:12" ht="6.75" customHeight="1" thickTop="1" x14ac:dyDescent="0.2"/>
    <row r="6" spans="3:12" s="79" customFormat="1" ht="17.25" customHeight="1" x14ac:dyDescent="0.25">
      <c r="C6" s="11" t="s">
        <v>249</v>
      </c>
      <c r="D6" s="316"/>
      <c r="E6" s="316"/>
      <c r="F6" s="316"/>
      <c r="G6" s="316"/>
      <c r="H6" s="316"/>
      <c r="I6" s="316"/>
      <c r="J6" s="317"/>
      <c r="K6" s="318"/>
      <c r="L6" s="319"/>
    </row>
    <row r="7" spans="3:12" ht="6.75" customHeight="1" x14ac:dyDescent="0.2"/>
    <row r="8" spans="3:12" ht="6.75" customHeight="1" x14ac:dyDescent="0.2"/>
    <row r="9" spans="3:12" s="79" customFormat="1" ht="20.25" customHeight="1" x14ac:dyDescent="0.2">
      <c r="C9" s="422" t="s">
        <v>347</v>
      </c>
      <c r="D9" s="318"/>
      <c r="E9" s="472" t="s">
        <v>342</v>
      </c>
      <c r="F9" s="472" t="s">
        <v>341</v>
      </c>
      <c r="G9" s="318"/>
      <c r="H9" s="318"/>
      <c r="I9" s="318"/>
      <c r="J9" s="318"/>
      <c r="K9" s="616" t="s">
        <v>105</v>
      </c>
      <c r="L9" s="319"/>
    </row>
    <row r="10" spans="3:12" s="79" customFormat="1" ht="17.25" customHeight="1" x14ac:dyDescent="0.25">
      <c r="C10" s="328" t="s">
        <v>252</v>
      </c>
      <c r="D10" s="320"/>
      <c r="E10" s="326">
        <f ca="1">+'3. Avaliação Financeira'!E27</f>
        <v>326981.21395103337</v>
      </c>
      <c r="F10" s="326" t="e">
        <f ca="1">+'3. Avaliação Financeira'!F27</f>
        <v>#DIV/0!</v>
      </c>
      <c r="G10" s="318"/>
      <c r="H10" s="318"/>
      <c r="I10" s="318"/>
      <c r="J10" s="318"/>
      <c r="K10" s="616"/>
      <c r="L10" s="321" t="s">
        <v>97</v>
      </c>
    </row>
    <row r="11" spans="3:12" s="79" customFormat="1" ht="17.25" customHeight="1" x14ac:dyDescent="0.25">
      <c r="C11" s="328" t="s">
        <v>251</v>
      </c>
      <c r="D11" s="320"/>
      <c r="E11" s="464" t="e">
        <f ca="1">+'3. Avaliação Financeira'!E28</f>
        <v>#NUM!</v>
      </c>
      <c r="F11" s="464" t="e">
        <f ca="1">+'3. Avaliação Financeira'!F28</f>
        <v>#VALUE!</v>
      </c>
      <c r="G11" s="355"/>
      <c r="H11" s="359"/>
      <c r="I11" s="359"/>
      <c r="J11" s="318"/>
      <c r="K11" s="616"/>
      <c r="L11" s="321" t="s">
        <v>98</v>
      </c>
    </row>
    <row r="12" spans="3:12" s="79" customFormat="1" ht="21" customHeight="1" x14ac:dyDescent="0.25">
      <c r="C12" s="328" t="s">
        <v>254</v>
      </c>
      <c r="D12" s="320"/>
      <c r="E12" s="466">
        <f ca="1">+'3. Avaliação Financeira'!E29</f>
        <v>0</v>
      </c>
      <c r="F12" s="466">
        <f ca="1">+'3. Avaliação Financeira'!F29</f>
        <v>0</v>
      </c>
      <c r="G12" s="471" t="s">
        <v>239</v>
      </c>
      <c r="H12" s="318"/>
      <c r="I12" s="318"/>
      <c r="J12" s="318"/>
      <c r="K12" s="616"/>
      <c r="L12" s="321" t="s">
        <v>99</v>
      </c>
    </row>
    <row r="13" spans="3:12" s="79" customFormat="1" ht="17.25" customHeight="1" x14ac:dyDescent="0.25">
      <c r="C13" s="328" t="s">
        <v>323</v>
      </c>
      <c r="D13" s="320"/>
      <c r="E13" s="326">
        <f>+'3. Avaliação Financeira'!E31</f>
        <v>-4212.5363944685569</v>
      </c>
      <c r="F13" s="465"/>
      <c r="G13" s="355"/>
      <c r="H13" s="318"/>
      <c r="I13" s="318"/>
      <c r="J13" s="318"/>
      <c r="K13" s="616"/>
      <c r="L13" s="321" t="s">
        <v>99</v>
      </c>
    </row>
    <row r="14" spans="3:12" s="79" customFormat="1" ht="17.25" customHeight="1" x14ac:dyDescent="0.25">
      <c r="C14" s="328" t="s">
        <v>426</v>
      </c>
      <c r="D14" s="320"/>
      <c r="E14" s="326" t="e">
        <f ca="1">+'3. Avaliação Financeira'!E32</f>
        <v>#DIV/0!</v>
      </c>
      <c r="F14" s="465"/>
      <c r="G14" s="355"/>
      <c r="H14" s="318"/>
      <c r="I14" s="318"/>
      <c r="J14" s="318"/>
      <c r="K14" s="616"/>
      <c r="L14" s="321" t="s">
        <v>99</v>
      </c>
    </row>
    <row r="15" spans="3:12" ht="6.75" customHeight="1" x14ac:dyDescent="0.2">
      <c r="K15" s="616"/>
    </row>
    <row r="16" spans="3:12" s="79" customFormat="1" ht="24" customHeight="1" x14ac:dyDescent="0.2">
      <c r="C16" s="422" t="s">
        <v>348</v>
      </c>
      <c r="D16" s="318"/>
      <c r="E16" s="472" t="s">
        <v>342</v>
      </c>
      <c r="F16" s="472" t="s">
        <v>341</v>
      </c>
      <c r="G16" s="318"/>
      <c r="H16" s="318"/>
      <c r="I16" s="318"/>
      <c r="J16" s="318"/>
      <c r="K16" s="616" t="s">
        <v>248</v>
      </c>
      <c r="L16" s="319"/>
    </row>
    <row r="17" spans="3:13" s="79" customFormat="1" ht="17.25" customHeight="1" x14ac:dyDescent="0.25">
      <c r="C17" s="328" t="s">
        <v>252</v>
      </c>
      <c r="D17" s="320"/>
      <c r="E17" s="326">
        <f ca="1">+'3. Avaliação Financeira'!E54</f>
        <v>326981.21395103337</v>
      </c>
      <c r="F17" s="326" t="e">
        <f ca="1">+'3. Avaliação Financeira'!F54</f>
        <v>#DIV/0!</v>
      </c>
      <c r="G17" s="318"/>
      <c r="H17" s="318"/>
      <c r="I17" s="318"/>
      <c r="J17" s="318"/>
      <c r="K17" s="616"/>
      <c r="L17" s="321" t="s">
        <v>97</v>
      </c>
    </row>
    <row r="18" spans="3:13" s="79" customFormat="1" ht="17.25" customHeight="1" x14ac:dyDescent="0.25">
      <c r="C18" s="328" t="s">
        <v>251</v>
      </c>
      <c r="D18" s="320"/>
      <c r="E18" s="464" t="e">
        <f ca="1">+'3. Avaliação Financeira'!E55</f>
        <v>#NUM!</v>
      </c>
      <c r="F18" s="464" t="e">
        <f ca="1">+'3. Avaliação Financeira'!F55</f>
        <v>#VALUE!</v>
      </c>
      <c r="G18" s="355"/>
      <c r="H18" s="359"/>
      <c r="I18" s="359"/>
      <c r="J18" s="318"/>
      <c r="K18" s="616"/>
      <c r="L18" s="321" t="s">
        <v>98</v>
      </c>
    </row>
    <row r="19" spans="3:13" s="79" customFormat="1" ht="17.25" customHeight="1" x14ac:dyDescent="0.25">
      <c r="C19" s="328" t="s">
        <v>254</v>
      </c>
      <c r="D19" s="320"/>
      <c r="E19" s="466">
        <f ca="1">+'3. Avaliação Financeira'!E56</f>
        <v>0</v>
      </c>
      <c r="F19" s="466">
        <f ca="1">+'3. Avaliação Financeira'!F56</f>
        <v>0</v>
      </c>
      <c r="G19" s="471" t="s">
        <v>239</v>
      </c>
      <c r="H19" s="318"/>
      <c r="I19" s="318"/>
      <c r="J19" s="318"/>
      <c r="K19" s="616"/>
      <c r="L19" s="321" t="s">
        <v>99</v>
      </c>
    </row>
    <row r="20" spans="3:13" s="79" customFormat="1" ht="17.25" customHeight="1" x14ac:dyDescent="0.25">
      <c r="C20" s="328" t="str">
        <f>+'3. Avaliação Financeira'!C58</f>
        <v>Valor Residual (VR)</v>
      </c>
      <c r="D20" s="320"/>
      <c r="E20" s="326">
        <f>+'3. Avaliação Financeira'!E58</f>
        <v>-4212.5363944685569</v>
      </c>
      <c r="F20" s="465"/>
      <c r="G20" s="355"/>
      <c r="H20" s="318"/>
      <c r="I20" s="318"/>
      <c r="J20" s="318"/>
      <c r="K20" s="616"/>
      <c r="L20" s="321" t="s">
        <v>99</v>
      </c>
    </row>
    <row r="21" spans="3:13" s="79" customFormat="1" ht="17.25" customHeight="1" x14ac:dyDescent="0.25">
      <c r="C21" s="328" t="str">
        <f>+'3. Avaliação Financeira'!C59</f>
        <v>Valor da perpetuidade</v>
      </c>
      <c r="D21" s="320"/>
      <c r="E21" s="326" t="e">
        <f ca="1">+'3. Avaliação Financeira'!E59</f>
        <v>#DIV/0!</v>
      </c>
      <c r="F21" s="465"/>
      <c r="G21" s="355"/>
      <c r="H21" s="318"/>
      <c r="I21" s="318"/>
      <c r="J21" s="318"/>
      <c r="K21" s="616"/>
      <c r="L21" s="321" t="s">
        <v>99</v>
      </c>
    </row>
    <row r="22" spans="3:13" ht="6.75" customHeight="1" x14ac:dyDescent="0.2">
      <c r="K22" s="483"/>
    </row>
    <row r="23" spans="3:13" s="79" customFormat="1" ht="20.25" customHeight="1" x14ac:dyDescent="0.2">
      <c r="C23" s="422" t="s">
        <v>309</v>
      </c>
      <c r="D23" s="318"/>
      <c r="E23" s="472" t="s">
        <v>342</v>
      </c>
      <c r="F23" s="472" t="s">
        <v>341</v>
      </c>
      <c r="G23" s="318"/>
      <c r="H23" s="318"/>
      <c r="I23" s="318"/>
      <c r="J23" s="318"/>
      <c r="K23" s="616" t="s">
        <v>310</v>
      </c>
      <c r="L23" s="319"/>
    </row>
    <row r="24" spans="3:13" s="79" customFormat="1" ht="17.25" customHeight="1" x14ac:dyDescent="0.25">
      <c r="C24" s="328" t="s">
        <v>252</v>
      </c>
      <c r="D24" s="320"/>
      <c r="E24" s="468">
        <f ca="1">+'3. Avaliação Financeira'!E85</f>
        <v>326981.21395103337</v>
      </c>
      <c r="F24" s="468" t="e">
        <f ca="1">+'3. Avaliação Financeira'!F85</f>
        <v>#DIV/0!</v>
      </c>
      <c r="G24" s="318"/>
      <c r="H24" s="318"/>
      <c r="I24" s="318"/>
      <c r="J24" s="318"/>
      <c r="K24" s="616"/>
      <c r="L24" s="321" t="s">
        <v>97</v>
      </c>
    </row>
    <row r="25" spans="3:13" s="79" customFormat="1" ht="17.25" customHeight="1" x14ac:dyDescent="0.25">
      <c r="C25" s="328" t="s">
        <v>251</v>
      </c>
      <c r="D25" s="320"/>
      <c r="E25" s="469" t="e">
        <f ca="1">+'3. Avaliação Financeira'!E86</f>
        <v>#NUM!</v>
      </c>
      <c r="F25" s="469" t="e">
        <f ca="1">+'3. Avaliação Financeira'!F86</f>
        <v>#VALUE!</v>
      </c>
      <c r="G25" s="355"/>
      <c r="H25" s="359"/>
      <c r="I25" s="359"/>
      <c r="J25" s="318"/>
      <c r="K25" s="616"/>
      <c r="L25" s="321" t="s">
        <v>98</v>
      </c>
    </row>
    <row r="26" spans="3:13" s="79" customFormat="1" ht="17.25" customHeight="1" x14ac:dyDescent="0.25">
      <c r="C26" s="328" t="s">
        <v>254</v>
      </c>
      <c r="D26" s="320"/>
      <c r="E26" s="470">
        <f ca="1">+'3. Avaliação Financeira'!E87</f>
        <v>0</v>
      </c>
      <c r="F26" s="470">
        <f ca="1">+'3. Avaliação Financeira'!F87</f>
        <v>0</v>
      </c>
      <c r="G26" s="471" t="s">
        <v>239</v>
      </c>
      <c r="H26" s="318"/>
      <c r="I26" s="318"/>
      <c r="J26" s="318"/>
      <c r="K26" s="616"/>
      <c r="L26" s="321" t="s">
        <v>99</v>
      </c>
    </row>
    <row r="27" spans="3:13" s="79" customFormat="1" ht="17.25" customHeight="1" x14ac:dyDescent="0.25">
      <c r="C27" s="328" t="s">
        <v>323</v>
      </c>
      <c r="D27" s="320"/>
      <c r="E27" s="326">
        <f>+'3. Avaliação Financeira'!E89</f>
        <v>-4212.5363944685569</v>
      </c>
      <c r="F27" s="467"/>
      <c r="G27" s="355"/>
      <c r="H27" s="318"/>
      <c r="I27" s="318"/>
      <c r="J27" s="318"/>
      <c r="K27" s="616"/>
      <c r="L27" s="321" t="s">
        <v>99</v>
      </c>
    </row>
    <row r="28" spans="3:13" s="79" customFormat="1" ht="17.25" customHeight="1" x14ac:dyDescent="0.25">
      <c r="C28" s="328" t="s">
        <v>426</v>
      </c>
      <c r="D28" s="320"/>
      <c r="E28" s="326" t="e">
        <f ca="1">+'3. Avaliação Financeira'!E90</f>
        <v>#DIV/0!</v>
      </c>
      <c r="F28" s="467"/>
      <c r="G28" s="355"/>
      <c r="H28" s="318"/>
      <c r="I28" s="318"/>
      <c r="J28" s="318"/>
      <c r="K28" s="616"/>
      <c r="L28" s="321" t="s">
        <v>99</v>
      </c>
    </row>
    <row r="29" spans="3:13" ht="6.75" customHeight="1" x14ac:dyDescent="0.2">
      <c r="K29" s="616"/>
    </row>
    <row r="30" spans="3:13" ht="17.25" customHeight="1" x14ac:dyDescent="0.2">
      <c r="C30" s="422" t="s">
        <v>538</v>
      </c>
      <c r="D30" s="577"/>
      <c r="E30" s="578">
        <f t="shared" ref="E30:J30" si="1">+E4</f>
        <v>2023</v>
      </c>
      <c r="F30" s="578">
        <f t="shared" si="1"/>
        <v>2024</v>
      </c>
      <c r="G30" s="578">
        <f t="shared" si="1"/>
        <v>2025</v>
      </c>
      <c r="H30" s="578">
        <f t="shared" si="1"/>
        <v>2026</v>
      </c>
      <c r="I30" s="578">
        <f t="shared" si="1"/>
        <v>2027</v>
      </c>
      <c r="J30" s="578">
        <f t="shared" si="1"/>
        <v>2028</v>
      </c>
      <c r="K30" s="566"/>
      <c r="L30" s="567" t="s">
        <v>537</v>
      </c>
      <c r="M30" s="80"/>
    </row>
    <row r="31" spans="3:13" ht="17.25" customHeight="1" x14ac:dyDescent="0.2">
      <c r="C31" s="579" t="s">
        <v>318</v>
      </c>
      <c r="D31" s="320"/>
      <c r="E31" s="576">
        <f>Pressupostos!G81+Pressupostos!G111+Pressupostos!G113+Pressupostos!G114+Pressupostos!G115+Pressupostos!G116+Pressupostos!G117+Pressupostos!G118+Pressupostos!G120+Pressupostos!G121+Pressupostos!G122+Pressupostos!G123+Pressupostos!G125+Pressupostos!G126+Pressupostos!G127+Pressupostos!G129+Pressupostos!G130+Pressupostos!G131+Pressupostos!G133+Pressupostos!G134+Pressupostos!G135+Pressupostos!G136+Pressupostos!G137+Pressupostos!G138+Pressupostos!G139+Pressupostos!G141+Pressupostos!G155+Pressupostos!G156+Pressupostos!G157+Pressupostos!G158+Pressupostos!G159+Pressupostos!G162+Pressupostos!G165+Pressupostos!G166+Pressupostos!G167+Pressupostos!G168+Pressupostos!G169+Pressupostos!G172+Pressupostos!G178+Pressupostos!G181+Pressupostos!G184</f>
        <v>0</v>
      </c>
      <c r="F31" s="576">
        <f>Pressupostos!H81+Pressupostos!H111+Pressupostos!H113+Pressupostos!H114+Pressupostos!H115+Pressupostos!H116+Pressupostos!H117+Pressupostos!H118+Pressupostos!H120+Pressupostos!H121+Pressupostos!H122+Pressupostos!H123+Pressupostos!H125+Pressupostos!H126+Pressupostos!H127+Pressupostos!H129+Pressupostos!H130+Pressupostos!H131+Pressupostos!H133+Pressupostos!H134+Pressupostos!H135+Pressupostos!H136+Pressupostos!H137+Pressupostos!H138+Pressupostos!H139+Pressupostos!H141+Pressupostos!H155+Pressupostos!H156+Pressupostos!H157+Pressupostos!H158+Pressupostos!H159+Pressupostos!H162+Pressupostos!H165+Pressupostos!H166+Pressupostos!H167+Pressupostos!H168+Pressupostos!H169+Pressupostos!H172+Pressupostos!H178+Pressupostos!H181+Pressupostos!H184</f>
        <v>0</v>
      </c>
      <c r="G31" s="576">
        <f>Pressupostos!I81+Pressupostos!I111+Pressupostos!I113+Pressupostos!I114+Pressupostos!I115+Pressupostos!I116+Pressupostos!I117+Pressupostos!I118+Pressupostos!I120+Pressupostos!I121+Pressupostos!I122+Pressupostos!I123+Pressupostos!I125+Pressupostos!I126+Pressupostos!I127+Pressupostos!I129+Pressupostos!I130+Pressupostos!I131+Pressupostos!I133+Pressupostos!I134+Pressupostos!I135+Pressupostos!I136+Pressupostos!I137+Pressupostos!I138+Pressupostos!I139+Pressupostos!I141+Pressupostos!I155+Pressupostos!I156+Pressupostos!I157+Pressupostos!I158+Pressupostos!I159+Pressupostos!I162+Pressupostos!I165+Pressupostos!I166+Pressupostos!I167+Pressupostos!I168+Pressupostos!I169+Pressupostos!I172+Pressupostos!I178+Pressupostos!I181+Pressupostos!I184</f>
        <v>0</v>
      </c>
      <c r="H31" s="576">
        <f>Pressupostos!H81+Pressupostos!H111+Pressupostos!H113+Pressupostos!H114+Pressupostos!H115+Pressupostos!H116+Pressupostos!H117+Pressupostos!H118+Pressupostos!H120+Pressupostos!H121+Pressupostos!H122+Pressupostos!H123+Pressupostos!H125+Pressupostos!H126+Pressupostos!H127+Pressupostos!H129+Pressupostos!H130+Pressupostos!H131+Pressupostos!H133+Pressupostos!H134+Pressupostos!H135+Pressupostos!H136+Pressupostos!H137+Pressupostos!H138+Pressupostos!H139+Pressupostos!H141+Pressupostos!H155+Pressupostos!H156+Pressupostos!H157+Pressupostos!H158+Pressupostos!H159+Pressupostos!H162+Pressupostos!H165+Pressupostos!H166+Pressupostos!H167+Pressupostos!H168+Pressupostos!H169+Pressupostos!H172+Pressupostos!H178+Pressupostos!H181+Pressupostos!H184</f>
        <v>0</v>
      </c>
      <c r="I31" s="576">
        <f>Pressupostos!I81+Pressupostos!I111+Pressupostos!I113+Pressupostos!I114+Pressupostos!I115+Pressupostos!I116+Pressupostos!I117+Pressupostos!I118+Pressupostos!I120+Pressupostos!I121+Pressupostos!I122+Pressupostos!I123+Pressupostos!I125+Pressupostos!I126+Pressupostos!I127+Pressupostos!I129+Pressupostos!I130+Pressupostos!I131+Pressupostos!I133+Pressupostos!I134+Pressupostos!I135+Pressupostos!I136+Pressupostos!I137+Pressupostos!I138+Pressupostos!I139+Pressupostos!I141+Pressupostos!I155+Pressupostos!I156+Pressupostos!I157+Pressupostos!I158+Pressupostos!I159+Pressupostos!I162+Pressupostos!I165+Pressupostos!I166+Pressupostos!I167+Pressupostos!I168+Pressupostos!I169+Pressupostos!I172+Pressupostos!I178+Pressupostos!I181+Pressupostos!I184</f>
        <v>0</v>
      </c>
      <c r="J31" s="576">
        <f>Pressupostos!J81+Pressupostos!J111+Pressupostos!J113+Pressupostos!J114+Pressupostos!J115+Pressupostos!J116+Pressupostos!J117+Pressupostos!J118+Pressupostos!J120+Pressupostos!J121+Pressupostos!J122+Pressupostos!J123+Pressupostos!J125+Pressupostos!J126+Pressupostos!J127+Pressupostos!J129+Pressupostos!J130+Pressupostos!J131+Pressupostos!J133+Pressupostos!J134+Pressupostos!J135+Pressupostos!J136+Pressupostos!J137+Pressupostos!J138+Pressupostos!J139+Pressupostos!J141+Pressupostos!J155+Pressupostos!J156+Pressupostos!J157+Pressupostos!J158+Pressupostos!J159+Pressupostos!J162+Pressupostos!J165+Pressupostos!J166+Pressupostos!J167+Pressupostos!J168+Pressupostos!J169+Pressupostos!J172+Pressupostos!J178+Pressupostos!J181+Pressupostos!J184</f>
        <v>0</v>
      </c>
      <c r="K31" s="566"/>
      <c r="L31" s="321"/>
    </row>
    <row r="32" spans="3:13" ht="17.25" customHeight="1" x14ac:dyDescent="0.2">
      <c r="C32" s="579" t="s">
        <v>292</v>
      </c>
      <c r="D32" s="320"/>
      <c r="E32" s="453">
        <f>+Pressupostos!$E$111*Pressupostos!G111+Pressupostos!$E$113*Pressupostos!G113+Pressupostos!$E$114*Pressupostos!G114+Pressupostos!$E$115*Pressupostos!G115+Pressupostos!$E$116*Pressupostos!G116+Pressupostos!$E$117*Pressupostos!G117+Pressupostos!$E$118*Pressupostos!G118+Pressupostos!$E$120*Pressupostos!G120+Pressupostos!$E$121*Pressupostos!G121+Pressupostos!$E$122*Pressupostos!G122+Pressupostos!$E$123*Pressupostos!G123+Pressupostos!$E$125*Pressupostos!G125+Pressupostos!$E$126*Pressupostos!G126+Pressupostos!$E$127*Pressupostos!G127+Pressupostos!$E$129*Pressupostos!G129+Pressupostos!$E$130*Pressupostos!G130+Pressupostos!$E$131*Pressupostos!G131+Pressupostos!$E$133*Pressupostos!G133+Pressupostos!$E$134*Pressupostos!G134+Pressupostos!$E$135*Pressupostos!G135+Pressupostos!$E$136*Pressupostos!G136+Pressupostos!$E$137*Pressupostos!G137+Pressupostos!$E$138*Pressupostos!G138+Pressupostos!$E$139*Pressupostos!G139+Pressupostos!$E$141*Pressupostos!G141+Pressupostos!$E$155*Pressupostos!G155+Pressupostos!$E$156*Pressupostos!G156+Pressupostos!$E$157*Pressupostos!G157+Pressupostos!$E$158*Pressupostos!G158+Pressupostos!$E$159*Pressupostos!G159+Pressupostos!$E$162*Pressupostos!G162+Pressupostos!$E$165*Pressupostos!G165+Pressupostos!$E$166*Pressupostos!G166+Pressupostos!$E$167*Pressupostos!G167+Pressupostos!$E$168*Pressupostos!G168+Pressupostos!$E$169*Pressupostos!G169+Pressupostos!$E$172*Pressupostos!G172+Pressupostos!$E$179*Pressupostos!G178+Pressupostos!$E$182*Pressupostos!G181+Pressupostos!$E$184*Pressupostos!G184</f>
        <v>0</v>
      </c>
      <c r="F32" s="453">
        <f>+Pressupostos!$E$111*Pressupostos!H111+Pressupostos!$E$113*Pressupostos!H113+Pressupostos!$E$114*Pressupostos!H114+Pressupostos!$E$115*Pressupostos!H115+Pressupostos!$E$116*Pressupostos!H116+Pressupostos!$E$117*Pressupostos!H117+Pressupostos!$E$118*Pressupostos!H118+Pressupostos!$E$120*Pressupostos!H120+Pressupostos!$E$121*Pressupostos!H121+Pressupostos!$E$122*Pressupostos!H122+Pressupostos!$E$123*Pressupostos!H123+Pressupostos!$E$125*Pressupostos!H125+Pressupostos!$E$126*Pressupostos!H126+Pressupostos!$E$127*Pressupostos!H127+Pressupostos!$E$129*Pressupostos!H129+Pressupostos!$E$130*Pressupostos!H130+Pressupostos!$E$131*Pressupostos!H131+Pressupostos!$E$133*Pressupostos!H133+Pressupostos!$E$134*Pressupostos!H134+Pressupostos!$E$135*Pressupostos!H135+Pressupostos!$E$136*Pressupostos!H136+Pressupostos!$E$137*Pressupostos!H137+Pressupostos!$E$138*Pressupostos!H138+Pressupostos!$E$139*Pressupostos!H139+Pressupostos!$E$141*Pressupostos!H141+Pressupostos!$E$155*Pressupostos!H155+Pressupostos!$E$156*Pressupostos!H156+Pressupostos!$E$157*Pressupostos!H157+Pressupostos!$E$158*Pressupostos!H158+Pressupostos!$E$159*Pressupostos!H159+Pressupostos!$E$162*Pressupostos!H162+Pressupostos!$E$165*Pressupostos!H165+Pressupostos!$E$166*Pressupostos!H166+Pressupostos!$E$167*Pressupostos!H167+Pressupostos!$E$168*Pressupostos!H168+Pressupostos!$E$169*Pressupostos!H169+Pressupostos!$E$172*Pressupostos!H172+Pressupostos!$E$179*Pressupostos!H178+Pressupostos!$E$182*Pressupostos!H181+Pressupostos!$E$184*Pressupostos!H184</f>
        <v>0</v>
      </c>
      <c r="G32" s="453">
        <f>+Pressupostos!$E$111*Pressupostos!I111+Pressupostos!$E$113*Pressupostos!I113+Pressupostos!$E$114*Pressupostos!I114+Pressupostos!$E$115*Pressupostos!I115+Pressupostos!$E$116*Pressupostos!I116+Pressupostos!$E$117*Pressupostos!I117+Pressupostos!$E$118*Pressupostos!I118+Pressupostos!$E$120*Pressupostos!I120+Pressupostos!$E$121*Pressupostos!I121+Pressupostos!$E$122*Pressupostos!I122+Pressupostos!$E$123*Pressupostos!I123+Pressupostos!$E$125*Pressupostos!I125+Pressupostos!$E$126*Pressupostos!I126+Pressupostos!$E$127*Pressupostos!I127+Pressupostos!$E$129*Pressupostos!I129+Pressupostos!$E$130*Pressupostos!I130+Pressupostos!$E$131*Pressupostos!I131+Pressupostos!$E$133*Pressupostos!I133+Pressupostos!$E$134*Pressupostos!I134+Pressupostos!$E$135*Pressupostos!I135+Pressupostos!$E$136*Pressupostos!I136+Pressupostos!$E$137*Pressupostos!I137+Pressupostos!$E$138*Pressupostos!I138+Pressupostos!$E$139*Pressupostos!I139+Pressupostos!$E$141*Pressupostos!I141+Pressupostos!$E$155*Pressupostos!I155+Pressupostos!$E$156*Pressupostos!I156+Pressupostos!$E$157*Pressupostos!I157+Pressupostos!$E$158*Pressupostos!I158+Pressupostos!$E$159*Pressupostos!I159+Pressupostos!$E$162*Pressupostos!I162+Pressupostos!$E$165*Pressupostos!I165+Pressupostos!$E$166*Pressupostos!I166+Pressupostos!$E$167*Pressupostos!I167+Pressupostos!$E$168*Pressupostos!I168+Pressupostos!$E$169*Pressupostos!I169+Pressupostos!$E$172*Pressupostos!I172+Pressupostos!$E$179*Pressupostos!I178+Pressupostos!$E$182*Pressupostos!I181+Pressupostos!$E$184*Pressupostos!I184</f>
        <v>0</v>
      </c>
      <c r="H32" s="453">
        <f>+Pressupostos!$E$111*Pressupostos!J111+Pressupostos!$E$113*Pressupostos!J113+Pressupostos!$E$114*Pressupostos!J114+Pressupostos!$E$115*Pressupostos!J115+Pressupostos!$E$116*Pressupostos!J116+Pressupostos!$E$117*Pressupostos!J117+Pressupostos!$E$118*Pressupostos!J118+Pressupostos!$E$120*Pressupostos!J120+Pressupostos!$E$121*Pressupostos!J121+Pressupostos!$E$122*Pressupostos!J122+Pressupostos!$E$123*Pressupostos!J123+Pressupostos!$E$125*Pressupostos!J125+Pressupostos!$E$126*Pressupostos!J126+Pressupostos!$E$127*Pressupostos!J127+Pressupostos!$E$129*Pressupostos!J129+Pressupostos!$E$130*Pressupostos!J130+Pressupostos!$E$131*Pressupostos!J131+Pressupostos!$E$133*Pressupostos!J133+Pressupostos!$E$134*Pressupostos!J134+Pressupostos!$E$135*Pressupostos!J135+Pressupostos!$E$136*Pressupostos!J136+Pressupostos!$E$137*Pressupostos!J137+Pressupostos!$E$138*Pressupostos!J138+Pressupostos!$E$139*Pressupostos!J139+Pressupostos!$E$141*Pressupostos!J141+Pressupostos!$E$155*Pressupostos!J155+Pressupostos!$E$156*Pressupostos!J156+Pressupostos!$E$157*Pressupostos!J157+Pressupostos!$E$158*Pressupostos!J158+Pressupostos!$E$159*Pressupostos!J159+Pressupostos!$E$162*Pressupostos!J162+Pressupostos!$E$165*Pressupostos!J165+Pressupostos!$E$166*Pressupostos!J166+Pressupostos!$E$167*Pressupostos!J167+Pressupostos!$E$168*Pressupostos!J168+Pressupostos!$E$169*Pressupostos!J169+Pressupostos!$E$172*Pressupostos!J172+Pressupostos!$E$179*Pressupostos!J178+Pressupostos!$E$182*Pressupostos!J181+Pressupostos!$E$184*Pressupostos!J184</f>
        <v>0</v>
      </c>
      <c r="I32" s="453">
        <f>+Pressupostos!$E$111*Pressupostos!K111+Pressupostos!$E$113*Pressupostos!K113+Pressupostos!$E$114*Pressupostos!K114+Pressupostos!$E$115*Pressupostos!K115+Pressupostos!$E$116*Pressupostos!K116+Pressupostos!$E$117*Pressupostos!K117+Pressupostos!$E$118*Pressupostos!K118+Pressupostos!$E$120*Pressupostos!K120+Pressupostos!$E$121*Pressupostos!K121+Pressupostos!$E$122*Pressupostos!K122+Pressupostos!$E$123*Pressupostos!K123+Pressupostos!$E$125*Pressupostos!K125+Pressupostos!$E$126*Pressupostos!K126+Pressupostos!$E$127*Pressupostos!K127+Pressupostos!$E$129*Pressupostos!K129+Pressupostos!$E$130*Pressupostos!K130+Pressupostos!$E$131*Pressupostos!K131+Pressupostos!$E$133*Pressupostos!K133+Pressupostos!$E$134*Pressupostos!K134+Pressupostos!$E$135*Pressupostos!K135+Pressupostos!$E$136*Pressupostos!K136+Pressupostos!$E$137*Pressupostos!K137+Pressupostos!$E$138*Pressupostos!K138+Pressupostos!$E$139*Pressupostos!K139+Pressupostos!$E$141*Pressupostos!K141+Pressupostos!$E$155*Pressupostos!K155+Pressupostos!$E$156*Pressupostos!K156+Pressupostos!$E$157*Pressupostos!K157+Pressupostos!$E$158*Pressupostos!K158+Pressupostos!$E$159*Pressupostos!K159+Pressupostos!$E$162*Pressupostos!K162+Pressupostos!$E$165*Pressupostos!K165+Pressupostos!$E$166*Pressupostos!K166+Pressupostos!$E$167*Pressupostos!K167+Pressupostos!$E$168*Pressupostos!K168+Pressupostos!$E$169*Pressupostos!K169+Pressupostos!$E$172*Pressupostos!K172+Pressupostos!$E$179*Pressupostos!K178+Pressupostos!$E$182*Pressupostos!K181+Pressupostos!$E$184*Pressupostos!K184</f>
        <v>0</v>
      </c>
      <c r="J32" s="453">
        <f>+Pressupostos!$E$111*Pressupostos!L111+Pressupostos!$E$113*Pressupostos!L113+Pressupostos!$E$114*Pressupostos!L114+Pressupostos!$E$115*Pressupostos!L115+Pressupostos!$E$116*Pressupostos!L116+Pressupostos!$E$117*Pressupostos!L117+Pressupostos!$E$118*Pressupostos!L118+Pressupostos!$E$120*Pressupostos!L120+Pressupostos!$E$121*Pressupostos!L121+Pressupostos!$E$122*Pressupostos!L122+Pressupostos!$E$123*Pressupostos!L123+Pressupostos!$E$125*Pressupostos!L125+Pressupostos!$E$126*Pressupostos!L126+Pressupostos!$E$127*Pressupostos!L127+Pressupostos!$E$129*Pressupostos!L129+Pressupostos!$E$130*Pressupostos!L130+Pressupostos!$E$131*Pressupostos!L131+Pressupostos!$E$133*Pressupostos!L133+Pressupostos!$E$134*Pressupostos!L134+Pressupostos!$E$135*Pressupostos!L135+Pressupostos!$E$136*Pressupostos!L136+Pressupostos!$E$137*Pressupostos!L137+Pressupostos!$E$138*Pressupostos!L138+Pressupostos!$E$139*Pressupostos!L139+Pressupostos!$E$141*Pressupostos!L141+Pressupostos!$E$155*Pressupostos!L155+Pressupostos!$E$156*Pressupostos!L156+Pressupostos!$E$157*Pressupostos!L157+Pressupostos!$E$158*Pressupostos!L158+Pressupostos!$E$159*Pressupostos!L159+Pressupostos!$E$162*Pressupostos!L162+Pressupostos!$E$165*Pressupostos!L165+Pressupostos!$E$166*Pressupostos!L166+Pressupostos!$E$167*Pressupostos!L167+Pressupostos!$E$168*Pressupostos!L168+Pressupostos!$E$169*Pressupostos!L169+Pressupostos!$E$172*Pressupostos!L172+Pressupostos!$E$179*Pressupostos!L178+Pressupostos!$E$182*Pressupostos!L181+Pressupostos!$E$184*Pressupostos!L184</f>
        <v>0</v>
      </c>
      <c r="K32" s="566"/>
      <c r="L32" s="567"/>
      <c r="M32" s="80"/>
    </row>
    <row r="33" spans="3:12" ht="17.25" customHeight="1" x14ac:dyDescent="0.2">
      <c r="C33" s="579" t="s">
        <v>373</v>
      </c>
      <c r="D33" s="320"/>
      <c r="E33" s="453">
        <f>+E31-E32</f>
        <v>0</v>
      </c>
      <c r="F33" s="453">
        <f>+F31-F32</f>
        <v>0</v>
      </c>
      <c r="G33" s="453">
        <f>+G31-G32</f>
        <v>0</v>
      </c>
      <c r="H33" s="453">
        <f>+H31-H32</f>
        <v>0</v>
      </c>
      <c r="I33" s="453">
        <f>+I31-I32</f>
        <v>0</v>
      </c>
      <c r="J33" s="453">
        <f t="shared" ref="J33" si="2">+J31-J32</f>
        <v>0</v>
      </c>
      <c r="K33" s="81"/>
    </row>
    <row r="34" spans="3:12" ht="17.25" customHeight="1" x14ac:dyDescent="0.2">
      <c r="C34" s="580" t="s">
        <v>496</v>
      </c>
      <c r="D34" s="320"/>
      <c r="E34" s="453">
        <f>+Pressupostos!G44</f>
        <v>40000</v>
      </c>
      <c r="F34" s="453">
        <f>+Pressupostos!H44</f>
        <v>48960</v>
      </c>
      <c r="G34" s="453">
        <f>+Pressupostos!I44</f>
        <v>59927.040000000001</v>
      </c>
      <c r="H34" s="453">
        <f>+Pressupostos!J44</f>
        <v>73350.696960000001</v>
      </c>
      <c r="I34" s="453">
        <f>+Pressupostos!K44</f>
        <v>89781.253079040005</v>
      </c>
      <c r="J34" s="453">
        <f>+Pressupostos!L44</f>
        <v>109892.25376874495</v>
      </c>
      <c r="K34" s="81"/>
    </row>
    <row r="35" spans="3:12" ht="17.25" customHeight="1" x14ac:dyDescent="0.2">
      <c r="C35" s="580" t="s">
        <v>253</v>
      </c>
      <c r="D35" s="320"/>
      <c r="E35" s="453">
        <f>+E32/(1-E33/E34)</f>
        <v>0</v>
      </c>
      <c r="F35" s="453">
        <f>+F32/(1-F33/F34)</f>
        <v>0</v>
      </c>
      <c r="G35" s="453">
        <f>+G32/(1-G33/G34)</f>
        <v>0</v>
      </c>
      <c r="H35" s="453">
        <f>+H32/(1-H33/H34)</f>
        <v>0</v>
      </c>
      <c r="I35" s="453">
        <f>+I32/(1-I33/I34)</f>
        <v>0</v>
      </c>
      <c r="J35" s="453">
        <f t="shared" ref="J35" si="3">+J32/(1-J33/J34)</f>
        <v>0</v>
      </c>
      <c r="K35" s="81"/>
      <c r="L35" s="321"/>
    </row>
    <row r="36" spans="3:12" ht="17.25" customHeight="1" x14ac:dyDescent="0.2">
      <c r="C36" s="580" t="s">
        <v>291</v>
      </c>
      <c r="D36" s="581"/>
      <c r="E36" s="453">
        <f>+E34-E35</f>
        <v>40000</v>
      </c>
      <c r="F36" s="453">
        <f>+F34-F35</f>
        <v>48960</v>
      </c>
      <c r="G36" s="453">
        <f>+G34-G35</f>
        <v>59927.040000000001</v>
      </c>
      <c r="H36" s="453">
        <f>+H34-H35</f>
        <v>73350.696960000001</v>
      </c>
      <c r="I36" s="453">
        <f>+I34-I35</f>
        <v>89781.253079040005</v>
      </c>
      <c r="J36" s="453">
        <f t="shared" ref="J36" si="4">+J34-J35</f>
        <v>109892.25376874495</v>
      </c>
      <c r="K36" s="81"/>
    </row>
    <row r="37" spans="3:12" ht="6.75" customHeight="1" x14ac:dyDescent="0.2"/>
    <row r="38" spans="3:12" ht="17.25" customHeight="1" x14ac:dyDescent="0.2">
      <c r="C38" s="11" t="s">
        <v>8</v>
      </c>
      <c r="D38" s="85"/>
      <c r="E38" s="85"/>
      <c r="F38" s="85"/>
      <c r="G38" s="85"/>
      <c r="H38" s="85"/>
      <c r="I38" s="85"/>
      <c r="J38" s="86"/>
    </row>
    <row r="39" spans="3:12" ht="17.25" customHeight="1" x14ac:dyDescent="0.2">
      <c r="C39" s="10" t="s">
        <v>63</v>
      </c>
      <c r="D39" s="92"/>
      <c r="E39" s="92"/>
      <c r="F39" s="92"/>
      <c r="G39" s="92"/>
      <c r="H39" s="92"/>
      <c r="I39" s="92"/>
      <c r="J39" s="93"/>
    </row>
    <row r="40" spans="3:12" ht="17.25" customHeight="1" x14ac:dyDescent="0.2">
      <c r="C40" s="95" t="s">
        <v>89</v>
      </c>
      <c r="D40" s="89"/>
      <c r="E40" s="96">
        <f t="shared" ref="E40:J40" si="5">IF(E69&lt;0,"",IF(E68&lt;0,"",+E69/E68))</f>
        <v>1</v>
      </c>
      <c r="F40" s="96">
        <f t="shared" ca="1" si="5"/>
        <v>1</v>
      </c>
      <c r="G40" s="96">
        <f t="shared" ca="1" si="5"/>
        <v>1</v>
      </c>
      <c r="H40" s="96">
        <f t="shared" ca="1" si="5"/>
        <v>1</v>
      </c>
      <c r="I40" s="96">
        <f t="shared" ca="1" si="5"/>
        <v>1</v>
      </c>
      <c r="J40" s="96">
        <f t="shared" ca="1" si="5"/>
        <v>1</v>
      </c>
      <c r="K40" s="81" t="s">
        <v>416</v>
      </c>
      <c r="L40" s="94" t="s">
        <v>95</v>
      </c>
    </row>
    <row r="41" spans="3:12" ht="17.25" customHeight="1" x14ac:dyDescent="0.2">
      <c r="C41" s="95" t="s">
        <v>60</v>
      </c>
      <c r="D41" s="90"/>
      <c r="E41" s="96">
        <f t="shared" ref="E41:J41" ca="1" si="6">IF(E72&lt;0,"",IF(E68&lt;0,"",+E72/E68))</f>
        <v>0.77500000000000002</v>
      </c>
      <c r="F41" s="96">
        <f t="shared" ca="1" si="6"/>
        <v>0.77500000000000002</v>
      </c>
      <c r="G41" s="96">
        <f t="shared" ca="1" si="6"/>
        <v>0.77500000000000013</v>
      </c>
      <c r="H41" s="96">
        <f t="shared" ca="1" si="6"/>
        <v>0.77500000000000002</v>
      </c>
      <c r="I41" s="96">
        <f t="shared" ca="1" si="6"/>
        <v>0.77500000000000002</v>
      </c>
      <c r="J41" s="96">
        <f t="shared" ca="1" si="6"/>
        <v>0.77500000000000002</v>
      </c>
      <c r="K41" s="81" t="s">
        <v>417</v>
      </c>
      <c r="L41" s="94" t="s">
        <v>290</v>
      </c>
    </row>
    <row r="42" spans="3:12" ht="17.25" customHeight="1" x14ac:dyDescent="0.2">
      <c r="C42" s="95" t="s">
        <v>92</v>
      </c>
      <c r="D42" s="90"/>
      <c r="E42" s="96">
        <f t="shared" ref="E42:J42" ca="1" si="7">+IF(E72&lt;0,"",+E72/SUM(E58:E59))</f>
        <v>0.95286885245901642</v>
      </c>
      <c r="F42" s="96">
        <f t="shared" ca="1" si="7"/>
        <v>0.53577480062354566</v>
      </c>
      <c r="G42" s="96">
        <f t="shared" ca="1" si="7"/>
        <v>0.39464324675547857</v>
      </c>
      <c r="H42" s="96">
        <f t="shared" ca="1" si="7"/>
        <v>0.3247533946498497</v>
      </c>
      <c r="I42" s="96">
        <f t="shared" ca="1" si="7"/>
        <v>0.28370509570154839</v>
      </c>
      <c r="J42" s="96">
        <f t="shared" ca="1" si="7"/>
        <v>0.25715007176896149</v>
      </c>
      <c r="K42" s="81" t="s">
        <v>93</v>
      </c>
    </row>
    <row r="43" spans="3:12" ht="17.25" customHeight="1" x14ac:dyDescent="0.2">
      <c r="C43" s="10" t="s">
        <v>61</v>
      </c>
      <c r="D43" s="92"/>
      <c r="E43" s="92"/>
      <c r="F43" s="92"/>
      <c r="G43" s="92"/>
      <c r="H43" s="92"/>
      <c r="I43" s="92"/>
      <c r="J43" s="93"/>
    </row>
    <row r="44" spans="3:12" ht="17.25" customHeight="1" x14ac:dyDescent="0.2">
      <c r="C44" s="97" t="s">
        <v>62</v>
      </c>
      <c r="D44" s="89"/>
      <c r="E44" s="228">
        <f t="shared" ref="E44:J44" ca="1" si="8">+IF(E68&lt;0,"",E68/SUM(E58:E59))</f>
        <v>1.2295081967213115</v>
      </c>
      <c r="F44" s="228">
        <f t="shared" ca="1" si="8"/>
        <v>0.69132232338522015</v>
      </c>
      <c r="G44" s="228">
        <f t="shared" ca="1" si="8"/>
        <v>0.50921709258771419</v>
      </c>
      <c r="H44" s="228">
        <f t="shared" ca="1" si="8"/>
        <v>0.41903663825787063</v>
      </c>
      <c r="I44" s="228">
        <f t="shared" ca="1" si="8"/>
        <v>0.3660710912278044</v>
      </c>
      <c r="J44" s="228">
        <f t="shared" ca="1" si="8"/>
        <v>0.33180654421801481</v>
      </c>
      <c r="K44" s="81" t="s">
        <v>418</v>
      </c>
    </row>
    <row r="45" spans="3:12" ht="17.25" customHeight="1" x14ac:dyDescent="0.2">
      <c r="C45" s="10" t="s">
        <v>195</v>
      </c>
      <c r="D45" s="92"/>
      <c r="E45" s="92"/>
      <c r="F45" s="92"/>
      <c r="G45" s="92"/>
      <c r="H45" s="92"/>
      <c r="I45" s="92"/>
      <c r="J45" s="93"/>
    </row>
    <row r="46" spans="3:12" ht="17.25" customHeight="1" x14ac:dyDescent="0.2">
      <c r="C46" s="506" t="s">
        <v>419</v>
      </c>
      <c r="D46" s="89"/>
      <c r="E46" s="96">
        <f ca="1">+IF('1.Demonstração de Resultados'!E24&lt;0,"",(+'1.Demonstração de Resultados'!E28+'1.Demonstração de Resultados'!E24)/SUM(E58:E59))</f>
        <v>0.95286885245901642</v>
      </c>
      <c r="F46" s="96">
        <f ca="1">+IF('1.Demonstração de Resultados'!F24&lt;0,"",(+'1.Demonstração de Resultados'!F28+'1.Demonstração de Resultados'!F24)/SUM(F58:F59))</f>
        <v>0.53577480062354566</v>
      </c>
      <c r="G46" s="96">
        <f ca="1">+IF('1.Demonstração de Resultados'!G24&lt;0,"",(+'1.Demonstração de Resultados'!G28+'1.Demonstração de Resultados'!G24)/SUM(G58:G59))</f>
        <v>0.39464324675547857</v>
      </c>
      <c r="H46" s="96">
        <f ca="1">+IF('1.Demonstração de Resultados'!H24&lt;0,"",(+'1.Demonstração de Resultados'!H28+'1.Demonstração de Resultados'!H24)/SUM(H58:H59))</f>
        <v>0.3247533946498497</v>
      </c>
      <c r="I46" s="96">
        <f ca="1">+IF('1.Demonstração de Resultados'!I24&lt;0,"",(+'1.Demonstração de Resultados'!I28+'1.Demonstração de Resultados'!I24)/SUM(I58:I59))</f>
        <v>0.28370509570154839</v>
      </c>
      <c r="J46" s="96">
        <f ca="1">+IF('1.Demonstração de Resultados'!J24&lt;0,"",(+'1.Demonstração de Resultados'!J28+'1.Demonstração de Resultados'!J24)/SUM(J58:J59))</f>
        <v>0.25715007176896149</v>
      </c>
      <c r="K46" s="81" t="s">
        <v>330</v>
      </c>
      <c r="L46" s="94" t="s">
        <v>196</v>
      </c>
    </row>
    <row r="47" spans="3:12" ht="17.25" customHeight="1" x14ac:dyDescent="0.2">
      <c r="C47" s="95" t="s">
        <v>372</v>
      </c>
      <c r="D47" s="91"/>
      <c r="E47" s="96">
        <f t="shared" ref="E47:J47" ca="1" si="9">+IF(E72&lt;0,"",IF(E63&lt;0,"",E72/E63))</f>
        <v>1</v>
      </c>
      <c r="F47" s="96">
        <f t="shared" ca="1" si="9"/>
        <v>0.55035971223021585</v>
      </c>
      <c r="G47" s="96">
        <f t="shared" ca="1" si="9"/>
        <v>0.40250004298560843</v>
      </c>
      <c r="H47" s="96">
        <f t="shared" ca="1" si="9"/>
        <v>0.33005509308800335</v>
      </c>
      <c r="I47" s="96">
        <f t="shared" ca="1" si="9"/>
        <v>0.28774291291631487</v>
      </c>
      <c r="J47" s="96">
        <f t="shared" ca="1" si="9"/>
        <v>0.26046296556820336</v>
      </c>
      <c r="K47" s="81" t="s">
        <v>91</v>
      </c>
      <c r="L47" s="94" t="s">
        <v>96</v>
      </c>
    </row>
    <row r="48" spans="3:12" ht="17.25" customHeight="1" x14ac:dyDescent="0.2">
      <c r="C48" s="10" t="s">
        <v>10</v>
      </c>
      <c r="D48" s="92"/>
      <c r="E48" s="92"/>
      <c r="F48" s="92"/>
      <c r="G48" s="92"/>
      <c r="H48" s="92"/>
      <c r="I48" s="92"/>
      <c r="J48" s="93"/>
    </row>
    <row r="49" spans="2:12" ht="17.25" customHeight="1" x14ac:dyDescent="0.2">
      <c r="C49" s="95" t="s">
        <v>11</v>
      </c>
      <c r="D49" s="89"/>
      <c r="E49" s="228">
        <f t="shared" ref="E49:J49" ca="1" si="10">+E59/E65</f>
        <v>21.217391304347828</v>
      </c>
      <c r="F49" s="228">
        <f t="shared" ca="1" si="10"/>
        <v>37.734867860187549</v>
      </c>
      <c r="G49" s="228">
        <f t="shared" ca="1" si="10"/>
        <v>51.229538248945495</v>
      </c>
      <c r="H49" s="228">
        <f t="shared" ca="1" si="10"/>
        <v>62.254595756100677</v>
      </c>
      <c r="I49" s="228">
        <f t="shared" ca="1" si="10"/>
        <v>71.261995680247082</v>
      </c>
      <c r="J49" s="228">
        <f t="shared" ca="1" si="10"/>
        <v>78.620982546379764</v>
      </c>
      <c r="K49" s="81" t="s">
        <v>90</v>
      </c>
    </row>
    <row r="50" spans="2:12" ht="17.25" customHeight="1" x14ac:dyDescent="0.2">
      <c r="C50" s="10" t="s">
        <v>210</v>
      </c>
      <c r="D50" s="92"/>
      <c r="E50" s="92"/>
      <c r="F50" s="92"/>
      <c r="G50" s="92"/>
      <c r="H50" s="92"/>
      <c r="I50" s="92"/>
      <c r="J50" s="93"/>
    </row>
    <row r="51" spans="2:12" ht="17.25" customHeight="1" x14ac:dyDescent="0.2">
      <c r="C51" s="95" t="s">
        <v>121</v>
      </c>
      <c r="D51" s="98"/>
      <c r="E51" s="228">
        <f t="shared" ref="E51:J51" ca="1" si="11">+IF(E63&lt;0,"",E63/SUM(E58:E59))</f>
        <v>0.95286885245901642</v>
      </c>
      <c r="F51" s="228">
        <f t="shared" ca="1" si="11"/>
        <v>0.9734993109368999</v>
      </c>
      <c r="G51" s="228">
        <f t="shared" ca="1" si="11"/>
        <v>0.98048001145080421</v>
      </c>
      <c r="H51" s="228">
        <f t="shared" ca="1" si="11"/>
        <v>0.98393692886678163</v>
      </c>
      <c r="I51" s="228">
        <f t="shared" ca="1" si="11"/>
        <v>0.98596727483626745</v>
      </c>
      <c r="J51" s="228">
        <f t="shared" ca="1" si="11"/>
        <v>0.98728074913830943</v>
      </c>
      <c r="K51" s="81" t="s">
        <v>209</v>
      </c>
    </row>
    <row r="52" spans="2:12" ht="17.25" customHeight="1" x14ac:dyDescent="0.2">
      <c r="C52" s="95" t="s">
        <v>122</v>
      </c>
      <c r="D52" s="90"/>
      <c r="E52" s="228">
        <f t="shared" ref="E52:J52" ca="1" si="12">+SUM(E64:E65)/SUM(E58:E59)</f>
        <v>4.7131147540983603E-2</v>
      </c>
      <c r="F52" s="228">
        <f t="shared" ca="1" si="12"/>
        <v>2.6500689063100109E-2</v>
      </c>
      <c r="G52" s="228">
        <f t="shared" ca="1" si="12"/>
        <v>1.9519988549195715E-2</v>
      </c>
      <c r="H52" s="228">
        <f t="shared" ca="1" si="12"/>
        <v>1.6063071133218376E-2</v>
      </c>
      <c r="I52" s="228">
        <f t="shared" ca="1" si="12"/>
        <v>1.4032725163732503E-2</v>
      </c>
      <c r="J52" s="228">
        <f t="shared" ca="1" si="12"/>
        <v>1.2719250861690569E-2</v>
      </c>
      <c r="K52" s="81" t="s">
        <v>193</v>
      </c>
    </row>
    <row r="53" spans="2:12" ht="17.25" customHeight="1" x14ac:dyDescent="0.2">
      <c r="C53" s="97" t="s">
        <v>123</v>
      </c>
      <c r="D53" s="91"/>
      <c r="E53" s="228">
        <f t="shared" ref="E53:J53" ca="1" si="13">SUM(E58:E59)/SUM(E64:E65)</f>
        <v>21.217391304347828</v>
      </c>
      <c r="F53" s="228">
        <f t="shared" ca="1" si="13"/>
        <v>37.734867860187549</v>
      </c>
      <c r="G53" s="228">
        <f t="shared" ca="1" si="13"/>
        <v>51.229538248945495</v>
      </c>
      <c r="H53" s="228">
        <f t="shared" ca="1" si="13"/>
        <v>62.254595756100677</v>
      </c>
      <c r="I53" s="228">
        <f t="shared" ca="1" si="13"/>
        <v>71.261995680247082</v>
      </c>
      <c r="J53" s="228">
        <f t="shared" ca="1" si="13"/>
        <v>78.620982546379764</v>
      </c>
      <c r="K53" s="81" t="s">
        <v>194</v>
      </c>
    </row>
    <row r="54" spans="2:12" ht="6.75" customHeight="1" x14ac:dyDescent="0.2"/>
    <row r="55" spans="2:12" ht="17.25" hidden="1" customHeight="1" x14ac:dyDescent="0.2">
      <c r="C55" s="11" t="s">
        <v>250</v>
      </c>
      <c r="D55" s="85"/>
      <c r="E55" s="85"/>
      <c r="F55" s="85"/>
      <c r="G55" s="85"/>
      <c r="H55" s="85"/>
      <c r="I55" s="85"/>
      <c r="J55" s="86"/>
      <c r="K55" s="946" t="s">
        <v>307</v>
      </c>
      <c r="L55" s="946"/>
    </row>
    <row r="56" spans="2:12" ht="6.75" hidden="1" customHeight="1" x14ac:dyDescent="0.2">
      <c r="K56" s="946"/>
      <c r="L56" s="946"/>
    </row>
    <row r="57" spans="2:12" ht="17.25" hidden="1" customHeight="1" x14ac:dyDescent="0.2">
      <c r="B57" s="55"/>
      <c r="C57" s="9" t="s">
        <v>25</v>
      </c>
      <c r="D57" s="69"/>
      <c r="E57" s="87"/>
      <c r="F57" s="87"/>
      <c r="G57" s="87"/>
      <c r="H57" s="87"/>
      <c r="I57" s="87"/>
      <c r="J57" s="87"/>
      <c r="K57" s="946"/>
      <c r="L57" s="946"/>
    </row>
    <row r="58" spans="2:12" ht="17.25" hidden="1" customHeight="1" x14ac:dyDescent="0.2">
      <c r="B58" s="55"/>
      <c r="C58" s="88" t="s">
        <v>112</v>
      </c>
      <c r="D58" s="89"/>
      <c r="E58" s="30">
        <f>+VLOOKUP($C58,'2. Balanço'!$C$7:$J$55,HLOOKUP('4. Rácios Financeiros'!E$4,'2. Balanço'!$E$4:$J$5,2,0),0)</f>
        <v>0</v>
      </c>
      <c r="F58" s="30">
        <f>+VLOOKUP($C58,'2. Balanço'!$C$7:$J$55,HLOOKUP('4. Rácios Financeiros'!F$4,'2. Balanço'!$E$4:$J$5,2,0),0)</f>
        <v>0</v>
      </c>
      <c r="G58" s="30">
        <f>+VLOOKUP($C58,'2. Balanço'!$C$7:$J$55,HLOOKUP('4. Rácios Financeiros'!G$4,'2. Balanço'!$E$4:$J$5,2,0),0)</f>
        <v>0</v>
      </c>
      <c r="H58" s="30">
        <f>+VLOOKUP($C58,'2. Balanço'!$C$7:$J$55,HLOOKUP('4. Rácios Financeiros'!H$4,'2. Balanço'!$E$4:$J$5,2,0),0)</f>
        <v>0</v>
      </c>
      <c r="I58" s="30">
        <f>+VLOOKUP($C58,'2. Balanço'!$C$7:$J$55,HLOOKUP('4. Rácios Financeiros'!I$4,'2. Balanço'!$E$4:$J$5,2,0),0)</f>
        <v>0</v>
      </c>
      <c r="J58" s="30">
        <f>+VLOOKUP($C58,'2. Balanço'!$C$7:$J$55,HLOOKUP('4. Rácios Financeiros'!J$4,'2. Balanço'!$E$4:$J$5,2,0),0)</f>
        <v>0</v>
      </c>
      <c r="K58" s="946"/>
      <c r="L58" s="946"/>
    </row>
    <row r="59" spans="2:12" ht="17.25" hidden="1" customHeight="1" x14ac:dyDescent="0.2">
      <c r="B59" s="55"/>
      <c r="C59" s="88" t="s">
        <v>115</v>
      </c>
      <c r="D59" s="90"/>
      <c r="E59" s="31">
        <f ca="1">+VLOOKUP($C59,'2. Balanço'!$C$7:$J$55,HLOOKUP('4. Rácios Financeiros'!E$4,'2. Balanço'!$E$4:$J$5,2,0),0)</f>
        <v>32533.333333333332</v>
      </c>
      <c r="F59" s="31">
        <f ca="1">+VLOOKUP($C59,'2. Balanço'!$C$7:$J$55,HLOOKUP('4. Rácios Financeiros'!F$4,'2. Balanço'!$E$4:$J$5,2,0),0)</f>
        <v>70820.800000000003</v>
      </c>
      <c r="G59" s="31">
        <f ca="1">+VLOOKUP($C59,'2. Balanço'!$C$7:$J$55,HLOOKUP('4. Rácios Financeiros'!G$4,'2. Balanço'!$E$4:$J$5,2,0),0)</f>
        <v>117684.65920000001</v>
      </c>
      <c r="H59" s="31">
        <f ca="1">+VLOOKUP($C59,'2. Balanço'!$C$7:$J$55,HLOOKUP('4. Rácios Financeiros'!H$4,'2. Balanço'!$E$4:$J$5,2,0),0)</f>
        <v>175046.0228608</v>
      </c>
      <c r="I59" s="31">
        <f ca="1">+VLOOKUP($C59,'2. Balanço'!$C$7:$J$55,HLOOKUP('4. Rácios Financeiros'!I$4,'2. Balanço'!$E$4:$J$5,2,0),0)</f>
        <v>245256.33198161921</v>
      </c>
      <c r="J59" s="31">
        <f ca="1">+VLOOKUP($C59,'2. Balanço'!$C$7:$J$55,HLOOKUP('4. Rácios Financeiros'!J$4,'2. Balanço'!$E$4:$J$5,2,0),0)</f>
        <v>331193.75034550193</v>
      </c>
      <c r="K59" s="946"/>
      <c r="L59" s="946"/>
    </row>
    <row r="60" spans="2:12" ht="17.25" hidden="1" customHeight="1" x14ac:dyDescent="0.2">
      <c r="B60" s="55"/>
      <c r="C60" s="88" t="s">
        <v>20</v>
      </c>
      <c r="D60" s="90"/>
      <c r="E60" s="26">
        <f>+VLOOKUP($C60,'2. Balanço'!$C$7:$J$55,HLOOKUP('4. Rácios Financeiros'!E$4,'2. Balanço'!$E$4:$J$5,2,0),0)</f>
        <v>0</v>
      </c>
      <c r="F60" s="26">
        <f>+VLOOKUP($C60,'2. Balanço'!$C$7:$J$55,HLOOKUP('4. Rácios Financeiros'!F$4,'2. Balanço'!$E$4:$J$5,2,0),0)</f>
        <v>0</v>
      </c>
      <c r="G60" s="26">
        <f>+VLOOKUP($C60,'2. Balanço'!$C$7:$J$55,HLOOKUP('4. Rácios Financeiros'!G$4,'2. Balanço'!$E$4:$J$5,2,0),0)</f>
        <v>0</v>
      </c>
      <c r="H60" s="26">
        <f>+VLOOKUP($C60,'2. Balanço'!$C$7:$J$55,HLOOKUP('4. Rácios Financeiros'!H$4,'2. Balanço'!$E$4:$J$5,2,0),0)</f>
        <v>0</v>
      </c>
      <c r="I60" s="26">
        <f>+VLOOKUP($C60,'2. Balanço'!$C$7:$J$55,HLOOKUP('4. Rácios Financeiros'!I$4,'2. Balanço'!$E$4:$J$5,2,0),0)</f>
        <v>0</v>
      </c>
      <c r="J60" s="26">
        <f>+VLOOKUP($C60,'2. Balanço'!$C$7:$J$55,HLOOKUP('4. Rácios Financeiros'!J$4,'2. Balanço'!$E$4:$J$5,2,0),0)</f>
        <v>0</v>
      </c>
      <c r="K60" s="946"/>
      <c r="L60" s="946"/>
    </row>
    <row r="61" spans="2:12" ht="17.25" hidden="1" customHeight="1" x14ac:dyDescent="0.2">
      <c r="B61" s="55"/>
      <c r="C61" s="88" t="s">
        <v>86</v>
      </c>
      <c r="D61" s="90"/>
      <c r="E61" s="26">
        <f>+VLOOKUP($C61,'2. Balanço'!$C$7:$J$55,HLOOKUP('4. Rácios Financeiros'!E$4,'2. Balanço'!$E$4:$J$5,2,0),0)</f>
        <v>0</v>
      </c>
      <c r="F61" s="26">
        <f>+VLOOKUP($C61,'2. Balanço'!$C$7:$J$55,HLOOKUP('4. Rácios Financeiros'!F$4,'2. Balanço'!$E$4:$J$5,2,0),0)</f>
        <v>0</v>
      </c>
      <c r="G61" s="26">
        <f>+VLOOKUP($C61,'2. Balanço'!$C$7:$J$55,HLOOKUP('4. Rácios Financeiros'!G$4,'2. Balanço'!$E$4:$J$5,2,0),0)</f>
        <v>0</v>
      </c>
      <c r="H61" s="26">
        <f>+VLOOKUP($C61,'2. Balanço'!$C$7:$J$55,HLOOKUP('4. Rácios Financeiros'!H$4,'2. Balanço'!$E$4:$J$5,2,0),0)</f>
        <v>0</v>
      </c>
      <c r="I61" s="26">
        <f>+VLOOKUP($C61,'2. Balanço'!$C$7:$J$55,HLOOKUP('4. Rácios Financeiros'!I$4,'2. Balanço'!$E$4:$J$5,2,0),0)</f>
        <v>0</v>
      </c>
      <c r="J61" s="26">
        <f>+VLOOKUP($C61,'2. Balanço'!$C$7:$J$55,HLOOKUP('4. Rácios Financeiros'!J$4,'2. Balanço'!$E$4:$J$5,2,0),0)</f>
        <v>0</v>
      </c>
      <c r="K61" s="946"/>
      <c r="L61" s="946"/>
    </row>
    <row r="62" spans="2:12" ht="17.25" hidden="1" customHeight="1" x14ac:dyDescent="0.2">
      <c r="C62" s="88" t="s">
        <v>367</v>
      </c>
      <c r="D62" s="90"/>
      <c r="E62" s="26">
        <f ca="1">+VLOOKUP($C62,'2. Balanço'!$C$7:$J$55,HLOOKUP('4. Rácios Financeiros'!E$4,'2. Balanço'!$E$4:$J$5,2,0),0)</f>
        <v>32533.333333333332</v>
      </c>
      <c r="F62" s="26">
        <f ca="1">+VLOOKUP($C62,'2. Balanço'!$C$7:$J$55,HLOOKUP('4. Rácios Financeiros'!F$4,'2. Balanço'!$E$4:$J$5,2,0),0)</f>
        <v>70820.800000000003</v>
      </c>
      <c r="G62" s="26">
        <f ca="1">+VLOOKUP($C62,'2. Balanço'!$C$7:$J$55,HLOOKUP('4. Rácios Financeiros'!G$4,'2. Balanço'!$E$4:$J$5,2,0),0)</f>
        <v>117684.65920000001</v>
      </c>
      <c r="H62" s="26">
        <f ca="1">+VLOOKUP($C62,'2. Balanço'!$C$7:$J$55,HLOOKUP('4. Rácios Financeiros'!H$4,'2. Balanço'!$E$4:$J$5,2,0),0)</f>
        <v>175046.0228608</v>
      </c>
      <c r="I62" s="26">
        <f ca="1">+VLOOKUP($C62,'2. Balanço'!$C$7:$J$55,HLOOKUP('4. Rácios Financeiros'!I$4,'2. Balanço'!$E$4:$J$5,2,0),0)</f>
        <v>245256.33198161921</v>
      </c>
      <c r="J62" s="26">
        <f ca="1">+VLOOKUP($C62,'2. Balanço'!$C$7:$J$55,HLOOKUP('4. Rácios Financeiros'!J$4,'2. Balanço'!$E$4:$J$5,2,0),0)</f>
        <v>331193.75034550193</v>
      </c>
      <c r="K62" s="946"/>
      <c r="L62" s="946"/>
    </row>
    <row r="63" spans="2:12" ht="17.25" hidden="1" customHeight="1" x14ac:dyDescent="0.2">
      <c r="C63" s="88" t="s">
        <v>58</v>
      </c>
      <c r="D63" s="90"/>
      <c r="E63" s="26">
        <f ca="1">+VLOOKUP($C63,'2. Balanço'!$C$7:$J$55,HLOOKUP('4. Rácios Financeiros'!E$4,'2. Balanço'!$E$4:$J$5,2,0),0)</f>
        <v>31000</v>
      </c>
      <c r="F63" s="26">
        <f ca="1">+VLOOKUP($C63,'2. Balanço'!$C$7:$J$55,HLOOKUP('4. Rácios Financeiros'!F$4,'2. Balanço'!$E$4:$J$5,2,0),0)</f>
        <v>68944</v>
      </c>
      <c r="G63" s="26">
        <f ca="1">+VLOOKUP($C63,'2. Balanço'!$C$7:$J$55,HLOOKUP('4. Rácios Financeiros'!G$4,'2. Balanço'!$E$4:$J$5,2,0),0)</f>
        <v>115387.45600000001</v>
      </c>
      <c r="H63" s="26">
        <f ca="1">+VLOOKUP($C63,'2. Balanço'!$C$7:$J$55,HLOOKUP('4. Rácios Financeiros'!H$4,'2. Balanço'!$E$4:$J$5,2,0),0)</f>
        <v>172234.246144</v>
      </c>
      <c r="I63" s="26">
        <f ca="1">+VLOOKUP($C63,'2. Balanço'!$C$7:$J$55,HLOOKUP('4. Rácios Financeiros'!I$4,'2. Balanço'!$E$4:$J$5,2,0),0)</f>
        <v>241814.71728025601</v>
      </c>
      <c r="J63" s="26">
        <f ca="1">+VLOOKUP($C63,'2. Balanço'!$C$7:$J$55,HLOOKUP('4. Rácios Financeiros'!J$4,'2. Balanço'!$E$4:$J$5,2,0),0)</f>
        <v>326981.21395103337</v>
      </c>
      <c r="K63" s="946"/>
      <c r="L63" s="946"/>
    </row>
    <row r="64" spans="2:12" ht="17.25" hidden="1" customHeight="1" x14ac:dyDescent="0.2">
      <c r="B64" s="55"/>
      <c r="C64" s="88" t="s">
        <v>113</v>
      </c>
      <c r="D64" s="90"/>
      <c r="E64" s="26">
        <f ca="1">+VLOOKUP($C64,'2. Balanço'!$C$7:$J$55,HLOOKUP('4. Rácios Financeiros'!E$4,'2. Balanço'!$E$4:$J$5,2,0),0)</f>
        <v>0</v>
      </c>
      <c r="F64" s="26">
        <f ca="1">+VLOOKUP($C64,'2. Balanço'!$C$7:$J$55,HLOOKUP('4. Rácios Financeiros'!F$4,'2. Balanço'!$E$4:$J$5,2,0),0)</f>
        <v>0</v>
      </c>
      <c r="G64" s="26">
        <f ca="1">+VLOOKUP($C64,'2. Balanço'!$C$7:$J$55,HLOOKUP('4. Rácios Financeiros'!G$4,'2. Balanço'!$E$4:$J$5,2,0),0)</f>
        <v>0</v>
      </c>
      <c r="H64" s="26">
        <f ca="1">+VLOOKUP($C64,'2. Balanço'!$C$7:$J$55,HLOOKUP('4. Rácios Financeiros'!H$4,'2. Balanço'!$E$4:$J$5,2,0),0)</f>
        <v>0</v>
      </c>
      <c r="I64" s="26">
        <f ca="1">+VLOOKUP($C64,'2. Balanço'!$C$7:$J$55,HLOOKUP('4. Rácios Financeiros'!I$4,'2. Balanço'!$E$4:$J$5,2,0),0)</f>
        <v>0</v>
      </c>
      <c r="J64" s="26">
        <f ca="1">+VLOOKUP($C64,'2. Balanço'!$C$7:$J$55,HLOOKUP('4. Rácios Financeiros'!J$4,'2. Balanço'!$E$4:$J$5,2,0),0)</f>
        <v>0</v>
      </c>
      <c r="K64" s="946"/>
      <c r="L64" s="946"/>
    </row>
    <row r="65" spans="2:12" ht="17.25" hidden="1" customHeight="1" x14ac:dyDescent="0.2">
      <c r="B65" s="55"/>
      <c r="C65" s="88" t="s">
        <v>114</v>
      </c>
      <c r="D65" s="91"/>
      <c r="E65" s="26">
        <f ca="1">+VLOOKUP($C65,'2. Balanço'!$C$7:$J$55,HLOOKUP('4. Rácios Financeiros'!E$4,'2. Balanço'!$E$4:$J$5,2,0),0)</f>
        <v>1533.3333333333333</v>
      </c>
      <c r="F65" s="26">
        <f ca="1">+VLOOKUP($C65,'2. Balanço'!$C$7:$J$55,HLOOKUP('4. Rácios Financeiros'!F$4,'2. Balanço'!$E$4:$J$5,2,0),0)</f>
        <v>1876.8000000000002</v>
      </c>
      <c r="G65" s="26">
        <f ca="1">+VLOOKUP($C65,'2. Balanço'!$C$7:$J$55,HLOOKUP('4. Rácios Financeiros'!G$4,'2. Balanço'!$E$4:$J$5,2,0),0)</f>
        <v>2297.2032000000004</v>
      </c>
      <c r="H65" s="26">
        <f ca="1">+VLOOKUP($C65,'2. Balanço'!$C$7:$J$55,HLOOKUP('4. Rácios Financeiros'!H$4,'2. Balanço'!$E$4:$J$5,2,0),0)</f>
        <v>2811.7767168000005</v>
      </c>
      <c r="I65" s="26">
        <f ca="1">+VLOOKUP($C65,'2. Balanço'!$C$7:$J$55,HLOOKUP('4. Rácios Financeiros'!I$4,'2. Balanço'!$E$4:$J$5,2,0),0)</f>
        <v>3441.6147013632003</v>
      </c>
      <c r="J65" s="26">
        <f ca="1">+VLOOKUP($C65,'2. Balanço'!$C$7:$J$55,HLOOKUP('4. Rácios Financeiros'!J$4,'2. Balanço'!$E$4:$J$5,2,0),0)</f>
        <v>4212.5363944685569</v>
      </c>
      <c r="K65" s="946"/>
      <c r="L65" s="946"/>
    </row>
    <row r="66" spans="2:12" ht="6.75" hidden="1" customHeight="1" x14ac:dyDescent="0.2">
      <c r="K66" s="946"/>
      <c r="L66" s="946"/>
    </row>
    <row r="67" spans="2:12" ht="17.25" hidden="1" customHeight="1" x14ac:dyDescent="0.2">
      <c r="C67" s="10" t="s">
        <v>59</v>
      </c>
      <c r="D67" s="92"/>
      <c r="E67" s="27"/>
      <c r="F67" s="27"/>
      <c r="G67" s="27"/>
      <c r="H67" s="27"/>
      <c r="I67" s="27"/>
      <c r="J67" s="28"/>
      <c r="K67" s="946"/>
      <c r="L67" s="946"/>
    </row>
    <row r="68" spans="2:12" ht="17.25" hidden="1" customHeight="1" x14ac:dyDescent="0.2">
      <c r="C68" s="88" t="str">
        <f>+'1.Demonstração de Resultados'!C6</f>
        <v>Vendas e Serviços prestados</v>
      </c>
      <c r="D68" s="89"/>
      <c r="E68" s="29">
        <f>+'1.Demonstração de Resultados'!E6</f>
        <v>40000</v>
      </c>
      <c r="F68" s="29">
        <f>+'1.Demonstração de Resultados'!F6</f>
        <v>48960</v>
      </c>
      <c r="G68" s="29">
        <f>+'1.Demonstração de Resultados'!G6</f>
        <v>59927.040000000001</v>
      </c>
      <c r="H68" s="29">
        <f>+'1.Demonstração de Resultados'!H6</f>
        <v>73350.696960000001</v>
      </c>
      <c r="I68" s="29">
        <f>+'1.Demonstração de Resultados'!I6</f>
        <v>89781.253079040005</v>
      </c>
      <c r="J68" s="29">
        <f>+'1.Demonstração de Resultados'!J6</f>
        <v>109892.25376874495</v>
      </c>
      <c r="K68" s="946"/>
      <c r="L68" s="946"/>
    </row>
    <row r="69" spans="2:12" ht="17.25" hidden="1" customHeight="1" x14ac:dyDescent="0.2">
      <c r="C69" s="88" t="s">
        <v>13</v>
      </c>
      <c r="D69" s="90"/>
      <c r="E69" s="29">
        <f>+'1.Demonstração de Resultados'!E21</f>
        <v>40000</v>
      </c>
      <c r="F69" s="29">
        <f ca="1">+'1.Demonstração de Resultados'!F21</f>
        <v>48960</v>
      </c>
      <c r="G69" s="29">
        <f ca="1">+'1.Demonstração de Resultados'!G21</f>
        <v>59927.040000000001</v>
      </c>
      <c r="H69" s="29">
        <f ca="1">+'1.Demonstração de Resultados'!H21</f>
        <v>73350.696960000001</v>
      </c>
      <c r="I69" s="29">
        <f ca="1">+'1.Demonstração de Resultados'!I21</f>
        <v>89781.253079040005</v>
      </c>
      <c r="J69" s="29">
        <f ca="1">+'1.Demonstração de Resultados'!J21</f>
        <v>109892.25376874495</v>
      </c>
      <c r="K69" s="946"/>
      <c r="L69" s="946"/>
    </row>
    <row r="70" spans="2:12" ht="17.25" hidden="1" customHeight="1" x14ac:dyDescent="0.2">
      <c r="C70" s="88" t="s">
        <v>188</v>
      </c>
      <c r="D70" s="90"/>
      <c r="E70" s="29">
        <f ca="1">+'1.Demonstração de Resultados'!E26</f>
        <v>0</v>
      </c>
      <c r="F70" s="29">
        <f ca="1">+'1.Demonstração de Resultados'!F26</f>
        <v>0</v>
      </c>
      <c r="G70" s="29">
        <f ca="1">+'1.Demonstração de Resultados'!G26</f>
        <v>0</v>
      </c>
      <c r="H70" s="29">
        <f ca="1">+'1.Demonstração de Resultados'!H26</f>
        <v>0</v>
      </c>
      <c r="I70" s="29">
        <f ca="1">+'1.Demonstração de Resultados'!I26</f>
        <v>0</v>
      </c>
      <c r="J70" s="29">
        <f ca="1">+'1.Demonstração de Resultados'!J26</f>
        <v>0</v>
      </c>
      <c r="K70" s="946"/>
      <c r="L70" s="946"/>
    </row>
    <row r="71" spans="2:12" ht="17.25" hidden="1" customHeight="1" x14ac:dyDescent="0.2">
      <c r="C71" s="88" t="s">
        <v>221</v>
      </c>
      <c r="D71" s="90"/>
      <c r="E71" s="29">
        <f ca="1">+'1.Demonstração de Resultados'!E28</f>
        <v>-9000</v>
      </c>
      <c r="F71" s="29">
        <f ca="1">+'1.Demonstração de Resultados'!F28</f>
        <v>-11016</v>
      </c>
      <c r="G71" s="29">
        <f ca="1">+'1.Demonstração de Resultados'!G28</f>
        <v>-13483.583999999999</v>
      </c>
      <c r="H71" s="29">
        <f ca="1">+'1.Demonstração de Resultados'!H28</f>
        <v>-16503.906815999999</v>
      </c>
      <c r="I71" s="29">
        <f ca="1">+'1.Demonstração de Resultados'!I28</f>
        <v>-20200.781942784</v>
      </c>
      <c r="J71" s="29">
        <f ca="1">+'1.Demonstração de Resultados'!J28</f>
        <v>-24725.757097967613</v>
      </c>
      <c r="K71" s="946"/>
      <c r="L71" s="946"/>
    </row>
    <row r="72" spans="2:12" ht="17.25" hidden="1" customHeight="1" x14ac:dyDescent="0.2">
      <c r="C72" s="88" t="s">
        <v>100</v>
      </c>
      <c r="D72" s="90"/>
      <c r="E72" s="29">
        <f ca="1">+'1.Demonstração de Resultados'!E31</f>
        <v>31000</v>
      </c>
      <c r="F72" s="29">
        <f ca="1">+'1.Demonstração de Resultados'!F31</f>
        <v>37944</v>
      </c>
      <c r="G72" s="29">
        <f ca="1">+'1.Demonstração de Resultados'!G31</f>
        <v>46443.456000000006</v>
      </c>
      <c r="H72" s="29">
        <f ca="1">+'1.Demonstração de Resultados'!H31</f>
        <v>56846.790143999999</v>
      </c>
      <c r="I72" s="29">
        <f ca="1">+'1.Demonstração de Resultados'!I31</f>
        <v>69580.471136256005</v>
      </c>
      <c r="J72" s="29">
        <f ca="1">+'1.Demonstração de Resultados'!J31</f>
        <v>85166.496670777342</v>
      </c>
      <c r="K72" s="946"/>
      <c r="L72" s="946"/>
    </row>
    <row r="75" spans="2:12" customFormat="1" ht="15" x14ac:dyDescent="0.25">
      <c r="B75" s="21"/>
      <c r="C75" s="684" t="s">
        <v>660</v>
      </c>
      <c r="D75" s="685"/>
      <c r="E75" s="7"/>
    </row>
    <row r="76" spans="2:12" customFormat="1" ht="15" x14ac:dyDescent="0.25">
      <c r="B76" s="21"/>
      <c r="D76" s="685"/>
      <c r="E76" s="7"/>
    </row>
    <row r="77" spans="2:12" customFormat="1" ht="15" x14ac:dyDescent="0.25">
      <c r="B77" s="21"/>
      <c r="D77" s="685"/>
      <c r="E77" s="7"/>
    </row>
    <row r="78" spans="2:12" customFormat="1" ht="15" x14ac:dyDescent="0.25">
      <c r="B78" s="21"/>
      <c r="D78" s="685"/>
      <c r="E78" s="7"/>
    </row>
  </sheetData>
  <sheetProtection algorithmName="SHA-512" hashValue="BR2Mf5qjmb2U5Vt29qzVHawdWYAVWECfHc27gpIHFxX4F97SFYNSfQSFk7LwVFDxGbatL/iVkgwSL9GYDHgBNw==" saltValue="CQdgdvrP8xv18Vb8JIWgWA==" spinCount="100000" sheet="1" formatCells="0" formatColumns="0" formatRows="0" insertColumns="0" insertRows="0" insertHyperlinks="0" deleteColumns="0" deleteRows="0" sort="0" autoFilter="0" pivotTables="0"/>
  <mergeCells count="1">
    <mergeCell ref="K55:L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H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80" zoomScaleNormal="80" workbookViewId="0">
      <pane xSplit="3" ySplit="4" topLeftCell="D5" activePane="bottomRight" state="frozen"/>
      <selection pane="topRight" activeCell="E1" sqref="E1"/>
      <selection pane="bottomLeft" activeCell="A5" sqref="A5"/>
      <selection pane="bottomRight" activeCell="C4" sqref="C4"/>
    </sheetView>
  </sheetViews>
  <sheetFormatPr defaultColWidth="0" defaultRowHeight="12.75" zeroHeight="1" x14ac:dyDescent="0.2"/>
  <cols>
    <col min="1" max="1" width="0.85546875" style="5" customWidth="1"/>
    <col min="2" max="2" width="5" style="5" customWidth="1"/>
    <col min="3" max="3" width="33.42578125" style="5" customWidth="1"/>
    <col min="4" max="4" width="5.85546875" style="5" customWidth="1"/>
    <col min="5" max="10" width="10.85546875" style="5" customWidth="1"/>
    <col min="11" max="11" width="9.140625" style="5" customWidth="1"/>
    <col min="12" max="15" width="0" style="5" hidden="1" customWidth="1"/>
    <col min="16" max="16384" width="9.140625" style="5" hidden="1"/>
  </cols>
  <sheetData>
    <row r="1" spans="2:10" x14ac:dyDescent="0.2"/>
    <row r="2" spans="2:10" s="195" customFormat="1" ht="20.25" customHeight="1" x14ac:dyDescent="0.25">
      <c r="C2" s="196" t="s">
        <v>85</v>
      </c>
      <c r="D2" s="197"/>
      <c r="E2" s="197"/>
      <c r="F2" s="197"/>
      <c r="G2" s="197"/>
      <c r="H2" s="197"/>
      <c r="I2" s="197"/>
      <c r="J2" s="197"/>
    </row>
    <row r="3" spans="2:10" x14ac:dyDescent="0.2"/>
    <row r="4" spans="2:10" ht="13.5" thickBot="1" x14ac:dyDescent="0.25">
      <c r="C4" s="82" t="str">
        <f>+Capa!C13</f>
        <v>Gaming’Us</v>
      </c>
      <c r="D4" s="37"/>
      <c r="E4" s="39">
        <f>+AnoN</f>
        <v>2023</v>
      </c>
      <c r="F4" s="39">
        <f>+E4+1</f>
        <v>2024</v>
      </c>
      <c r="G4" s="39">
        <f t="shared" ref="G4:J4" si="0">+F4+1</f>
        <v>2025</v>
      </c>
      <c r="H4" s="39">
        <f t="shared" si="0"/>
        <v>2026</v>
      </c>
      <c r="I4" s="39">
        <f t="shared" si="0"/>
        <v>2027</v>
      </c>
      <c r="J4" s="39">
        <f t="shared" si="0"/>
        <v>2028</v>
      </c>
    </row>
    <row r="5" spans="2:10" ht="6.75" customHeight="1" thickTop="1" x14ac:dyDescent="0.2"/>
    <row r="6" spans="2:10" s="79" customFormat="1" ht="20.25" customHeight="1" x14ac:dyDescent="0.25">
      <c r="B6" s="198"/>
      <c r="C6" s="184" t="s">
        <v>305</v>
      </c>
      <c r="D6" s="185"/>
      <c r="E6" s="199">
        <f t="shared" ref="E6:J6" si="1">+E7+E8+E9+E11</f>
        <v>0</v>
      </c>
      <c r="F6" s="199">
        <f t="shared" si="1"/>
        <v>0</v>
      </c>
      <c r="G6" s="199">
        <f t="shared" si="1"/>
        <v>0</v>
      </c>
      <c r="H6" s="199">
        <f t="shared" si="1"/>
        <v>0</v>
      </c>
      <c r="I6" s="199">
        <f t="shared" si="1"/>
        <v>0</v>
      </c>
      <c r="J6" s="203">
        <f t="shared" si="1"/>
        <v>0</v>
      </c>
    </row>
    <row r="7" spans="2:10" ht="17.25" customHeight="1" x14ac:dyDescent="0.2">
      <c r="B7" s="55"/>
      <c r="C7" s="177" t="s">
        <v>86</v>
      </c>
      <c r="D7" s="186"/>
      <c r="E7" s="202">
        <f>+IFERROR((Pressupostos!G$44+Pressupostos!G$45)*Pressupostos!$D$202/Pressupostos!G15,0)</f>
        <v>0</v>
      </c>
      <c r="F7" s="202">
        <f>+(Pressupostos!H$44+Pressupostos!H$45)*Pressupostos!$D$202/Pressupostos!H15</f>
        <v>0</v>
      </c>
      <c r="G7" s="202">
        <f>+(Pressupostos!I$44+Pressupostos!I$45)*Pressupostos!$D$202/Pressupostos!I15</f>
        <v>0</v>
      </c>
      <c r="H7" s="202">
        <f>+(Pressupostos!J$44+Pressupostos!J$45)*Pressupostos!$D$202/Pressupostos!J15</f>
        <v>0</v>
      </c>
      <c r="I7" s="202">
        <f>+(Pressupostos!K$44+Pressupostos!K$45)*Pressupostos!$D$202/Pressupostos!K15</f>
        <v>0</v>
      </c>
      <c r="J7" s="202">
        <f>+(Pressupostos!L$44+Pressupostos!L$45)*Pressupostos!$D$202/Pressupostos!L15</f>
        <v>0</v>
      </c>
    </row>
    <row r="8" spans="2:10" ht="17.25" customHeight="1" x14ac:dyDescent="0.2">
      <c r="C8" s="177" t="s">
        <v>20</v>
      </c>
      <c r="D8" s="187"/>
      <c r="E8" s="202">
        <f>+Pressupostos!G84</f>
        <v>0</v>
      </c>
      <c r="F8" s="202">
        <f>+Pressupostos!H84</f>
        <v>0</v>
      </c>
      <c r="G8" s="202">
        <f>+Pressupostos!I84</f>
        <v>0</v>
      </c>
      <c r="H8" s="202">
        <f>+Pressupostos!J84</f>
        <v>0</v>
      </c>
      <c r="I8" s="202">
        <f>+Pressupostos!K84</f>
        <v>0</v>
      </c>
      <c r="J8" s="202">
        <f>+Pressupostos!L84</f>
        <v>0</v>
      </c>
    </row>
    <row r="9" spans="2:10" ht="17.25" customHeight="1" x14ac:dyDescent="0.2">
      <c r="B9" s="55"/>
      <c r="C9" s="177" t="s">
        <v>260</v>
      </c>
      <c r="D9" s="200"/>
      <c r="E9" s="201">
        <f>+E10</f>
        <v>0</v>
      </c>
      <c r="F9" s="201">
        <f t="shared" ref="F9:J9" si="2">+F10</f>
        <v>0</v>
      </c>
      <c r="G9" s="201">
        <f t="shared" si="2"/>
        <v>0</v>
      </c>
      <c r="H9" s="201">
        <f t="shared" si="2"/>
        <v>0</v>
      </c>
      <c r="I9" s="201">
        <f t="shared" si="2"/>
        <v>0</v>
      </c>
      <c r="J9" s="201">
        <f t="shared" si="2"/>
        <v>0</v>
      </c>
    </row>
    <row r="10" spans="2:10" ht="17.25" customHeight="1" x14ac:dyDescent="0.2">
      <c r="C10" s="17" t="s">
        <v>35</v>
      </c>
      <c r="D10" s="187"/>
      <c r="E10" s="201">
        <f>-+IFERROR(IF(E$27&lt;0,E$27,"0"),"0")</f>
        <v>0</v>
      </c>
      <c r="F10" s="201">
        <f t="shared" ref="F10:J10" si="3">-+IFERROR(IF(F$27&lt;0,F$27,"0"),"0")</f>
        <v>0</v>
      </c>
      <c r="G10" s="201">
        <f t="shared" si="3"/>
        <v>0</v>
      </c>
      <c r="H10" s="201">
        <f t="shared" si="3"/>
        <v>0</v>
      </c>
      <c r="I10" s="201">
        <f t="shared" si="3"/>
        <v>0</v>
      </c>
      <c r="J10" s="201">
        <f t="shared" si="3"/>
        <v>0</v>
      </c>
    </row>
    <row r="11" spans="2:10" ht="17.25" customHeight="1" x14ac:dyDescent="0.2">
      <c r="B11" s="55"/>
      <c r="C11" s="177" t="s">
        <v>117</v>
      </c>
      <c r="D11" s="187"/>
      <c r="E11" s="201"/>
      <c r="F11" s="201"/>
      <c r="G11" s="201"/>
      <c r="H11" s="201"/>
      <c r="I11" s="201"/>
      <c r="J11" s="201"/>
    </row>
    <row r="12" spans="2:10" ht="17.25" hidden="1" customHeight="1" x14ac:dyDescent="0.2">
      <c r="B12" s="55"/>
      <c r="C12" s="19" t="s">
        <v>118</v>
      </c>
      <c r="D12" s="65"/>
      <c r="E12" s="107"/>
      <c r="F12" s="107"/>
      <c r="G12" s="107"/>
      <c r="H12" s="107"/>
      <c r="I12" s="107"/>
      <c r="J12" s="107"/>
    </row>
    <row r="13" spans="2:10" ht="9" customHeight="1" x14ac:dyDescent="0.2">
      <c r="C13" s="108"/>
      <c r="D13" s="109"/>
      <c r="E13" s="110"/>
      <c r="F13" s="110"/>
      <c r="G13" s="110"/>
      <c r="H13" s="110"/>
      <c r="I13" s="110"/>
      <c r="J13" s="111"/>
    </row>
    <row r="14" spans="2:10" ht="20.25" customHeight="1" x14ac:dyDescent="0.2">
      <c r="B14" s="55"/>
      <c r="C14" s="184" t="s">
        <v>306</v>
      </c>
      <c r="D14" s="185"/>
      <c r="E14" s="199">
        <f t="shared" ref="E14:J14" si="4">+E15+E16+E21</f>
        <v>1533.3333333333333</v>
      </c>
      <c r="F14" s="199">
        <f t="shared" si="4"/>
        <v>1876.8000000000002</v>
      </c>
      <c r="G14" s="199">
        <f t="shared" si="4"/>
        <v>2297.2032000000004</v>
      </c>
      <c r="H14" s="199">
        <f t="shared" si="4"/>
        <v>2811.7767168000005</v>
      </c>
      <c r="I14" s="199">
        <f t="shared" si="4"/>
        <v>3441.6147013632003</v>
      </c>
      <c r="J14" s="199">
        <f t="shared" si="4"/>
        <v>4212.5363944685569</v>
      </c>
    </row>
    <row r="15" spans="2:10" ht="17.25" customHeight="1" x14ac:dyDescent="0.2">
      <c r="B15" s="55"/>
      <c r="C15" s="177" t="s">
        <v>0</v>
      </c>
      <c r="D15" s="186"/>
      <c r="E15" s="202">
        <f>+IFERROR((Pressupostos!G108+Pressupostos!G109+Pressupostos!G83+Pressupostos!G82+Pressupostos!G184+Pressupostos!G185)*Pressupostos!$D$205/Pressupostos!G15,0)</f>
        <v>0</v>
      </c>
      <c r="F15" s="202">
        <f>+(Pressupostos!H108+Pressupostos!H109+Pressupostos!H83+Pressupostos!H82+Pressupostos!H184+Pressupostos!H185)*Pressupostos!$D$205/Pressupostos!H15</f>
        <v>0</v>
      </c>
      <c r="G15" s="202">
        <f>+(Pressupostos!I108+Pressupostos!I109+Pressupostos!I83+Pressupostos!I82+Pressupostos!I184+Pressupostos!I185)*Pressupostos!$D$205/Pressupostos!I15</f>
        <v>0</v>
      </c>
      <c r="H15" s="202">
        <f>+(Pressupostos!J108+Pressupostos!J109+Pressupostos!J83+Pressupostos!J82+Pressupostos!J184+Pressupostos!J185)*Pressupostos!$D$205/Pressupostos!J15</f>
        <v>0</v>
      </c>
      <c r="I15" s="202">
        <f>+(Pressupostos!K108+Pressupostos!K109+Pressupostos!K83+Pressupostos!K82+Pressupostos!K184+Pressupostos!K185)*Pressupostos!$D$205/Pressupostos!K15</f>
        <v>0</v>
      </c>
      <c r="J15" s="202">
        <f>+(Pressupostos!L108+Pressupostos!L109+Pressupostos!L83+Pressupostos!L82+Pressupostos!L184+Pressupostos!L185)*Pressupostos!$D$205/Pressupostos!L15</f>
        <v>0</v>
      </c>
    </row>
    <row r="16" spans="2:10" ht="17.25" customHeight="1" x14ac:dyDescent="0.2">
      <c r="B16" s="55"/>
      <c r="C16" s="177" t="s">
        <v>260</v>
      </c>
      <c r="D16" s="200"/>
      <c r="E16" s="202">
        <f t="shared" ref="E16:I16" si="5">+SUM(E17:E20)</f>
        <v>1533.3333333333333</v>
      </c>
      <c r="F16" s="202">
        <f t="shared" si="5"/>
        <v>1876.8000000000002</v>
      </c>
      <c r="G16" s="202">
        <f t="shared" si="5"/>
        <v>2297.2032000000004</v>
      </c>
      <c r="H16" s="202">
        <f t="shared" si="5"/>
        <v>2811.7767168000005</v>
      </c>
      <c r="I16" s="202">
        <f t="shared" si="5"/>
        <v>3441.6147013632003</v>
      </c>
      <c r="J16" s="202">
        <f t="shared" ref="J16" si="6">+SUM(J17:J20)</f>
        <v>4212.5363944685569</v>
      </c>
    </row>
    <row r="17" spans="2:10" ht="17.25" customHeight="1" x14ac:dyDescent="0.2">
      <c r="C17" s="17" t="s">
        <v>77</v>
      </c>
      <c r="D17" s="187"/>
      <c r="E17" s="202">
        <f>+IFERROR(Pressupostos!G$175/(Pressupostos!G14+Pressupostos!G14*2/12)*2,0)</f>
        <v>0</v>
      </c>
      <c r="F17" s="202">
        <f>+Pressupostos!H$175/(Pressupostos!H14+Pressupostos!H14*2/12)*2</f>
        <v>0</v>
      </c>
      <c r="G17" s="202">
        <f>+Pressupostos!I$175/(Pressupostos!I14+Pressupostos!I14*2/12)*2</f>
        <v>0</v>
      </c>
      <c r="H17" s="202">
        <f>+Pressupostos!J$175/(Pressupostos!J14+Pressupostos!J14*2/12)*2</f>
        <v>0</v>
      </c>
      <c r="I17" s="202">
        <f>+Pressupostos!K$175/(Pressupostos!K14+Pressupostos!K14*2/12)*2</f>
        <v>0</v>
      </c>
      <c r="J17" s="202">
        <f>+Pressupostos!L$175/(Pressupostos!L14+Pressupostos!L14*2/12)*2</f>
        <v>0</v>
      </c>
    </row>
    <row r="18" spans="2:10" ht="17.25" customHeight="1" x14ac:dyDescent="0.2">
      <c r="C18" s="17" t="s">
        <v>35</v>
      </c>
      <c r="D18" s="187"/>
      <c r="E18" s="202">
        <f>+IFERROR(IF(E$27&gt;0,E$27,"")/(Pressupostos!G14)*2,"0")</f>
        <v>1533.3333333333333</v>
      </c>
      <c r="F18" s="202">
        <f>+IFERROR(IF(F$27&gt;0,F$27,"")/(Pressupostos!H14)*2,"0")</f>
        <v>1876.8000000000002</v>
      </c>
      <c r="G18" s="202">
        <f>+IFERROR(IF(G$27&gt;0,G$27,"")/(Pressupostos!I14)*2,"0")</f>
        <v>2297.2032000000004</v>
      </c>
      <c r="H18" s="202">
        <f>+IFERROR(IF(H$27&gt;0,H$27,"")/(Pressupostos!J14)*2,"0")</f>
        <v>2811.7767168000005</v>
      </c>
      <c r="I18" s="202">
        <f>+IFERROR(IF(I$27&gt;0,I$27,"")/(Pressupostos!K14)*2,"0")</f>
        <v>3441.6147013632003</v>
      </c>
      <c r="J18" s="202">
        <f>+IFERROR(IF(J$27&gt;0,J$27,"")/(Pressupostos!L14)*2,"0")</f>
        <v>4212.5363944685569</v>
      </c>
    </row>
    <row r="19" spans="2:10" ht="17.25" customHeight="1" x14ac:dyDescent="0.2">
      <c r="C19" s="17" t="s">
        <v>228</v>
      </c>
      <c r="D19" s="187"/>
      <c r="E19" s="202">
        <f>+IFERROR(Pressupostos!G$171/(Pressupostos!G14+Pressupostos!G14*2/12)*2,0)</f>
        <v>0</v>
      </c>
      <c r="F19" s="202">
        <f>+Pressupostos!H$171/(Pressupostos!H14+Pressupostos!H14*2/12)*2</f>
        <v>0</v>
      </c>
      <c r="G19" s="202">
        <f>+Pressupostos!I$171/(Pressupostos!I14+Pressupostos!I14*2/12)*2</f>
        <v>0</v>
      </c>
      <c r="H19" s="202">
        <f>+Pressupostos!J$171/(Pressupostos!J14+Pressupostos!J14*2/12)*2</f>
        <v>0</v>
      </c>
      <c r="I19" s="202">
        <f>+Pressupostos!K$171/(Pressupostos!K14+Pressupostos!K14*2/12)*2</f>
        <v>0</v>
      </c>
      <c r="J19" s="202">
        <f>+Pressupostos!L$171/(Pressupostos!L14+Pressupostos!L14*2/12)*2</f>
        <v>0</v>
      </c>
    </row>
    <row r="20" spans="2:10" ht="17.25" customHeight="1" x14ac:dyDescent="0.2">
      <c r="C20" s="17" t="s">
        <v>229</v>
      </c>
      <c r="D20" s="187"/>
      <c r="E20" s="202">
        <f>IFERROR((Pressupostos!G$179+'2. Balanço'!E14-'2. Balanço'!D14)/(Pressupostos!G14+Pressupostos!G14*2/12)*2,0)</f>
        <v>0</v>
      </c>
      <c r="F20" s="202">
        <f>(Pressupostos!H$179+'2. Balanço'!F14-'2. Balanço'!E14)/(Pressupostos!H14+Pressupostos!H14*2/12)*2</f>
        <v>0</v>
      </c>
      <c r="G20" s="202">
        <f>(Pressupostos!I$179+'2. Balanço'!G14-'2. Balanço'!F14)/(Pressupostos!I14+Pressupostos!I14*2/12)*2</f>
        <v>0</v>
      </c>
      <c r="H20" s="202">
        <f>(Pressupostos!J$179+'2. Balanço'!H14-'2. Balanço'!G14)/(Pressupostos!J14+Pressupostos!J14*2/12)*2</f>
        <v>0</v>
      </c>
      <c r="I20" s="202">
        <f>(Pressupostos!K$179+'2. Balanço'!I14-'2. Balanço'!H14)/(Pressupostos!K14+Pressupostos!K14*2/12)*2</f>
        <v>0</v>
      </c>
      <c r="J20" s="202">
        <f>(Pressupostos!L$179+'2. Balanço'!J14-'2. Balanço'!I14)/(Pressupostos!L14+Pressupostos!L14*2/12)*2</f>
        <v>0</v>
      </c>
    </row>
    <row r="21" spans="2:10" ht="17.25" customHeight="1" x14ac:dyDescent="0.2">
      <c r="B21" s="55"/>
      <c r="C21" s="177" t="s">
        <v>119</v>
      </c>
      <c r="D21" s="187"/>
      <c r="E21" s="201"/>
      <c r="F21" s="201"/>
      <c r="G21" s="201"/>
      <c r="H21" s="201"/>
      <c r="I21" s="201"/>
      <c r="J21" s="201"/>
    </row>
    <row r="22" spans="2:10" ht="17.25" hidden="1" customHeight="1" x14ac:dyDescent="0.2">
      <c r="B22" s="55"/>
      <c r="C22" s="19" t="s">
        <v>118</v>
      </c>
      <c r="D22" s="65"/>
      <c r="E22" s="107"/>
      <c r="F22" s="107"/>
      <c r="G22" s="107"/>
      <c r="H22" s="107"/>
      <c r="I22" s="107"/>
      <c r="J22" s="107"/>
    </row>
    <row r="23" spans="2:10" ht="9" customHeight="1" x14ac:dyDescent="0.2">
      <c r="C23" s="108"/>
      <c r="D23" s="109"/>
      <c r="E23" s="107"/>
      <c r="F23" s="107"/>
      <c r="G23" s="107"/>
      <c r="H23" s="107"/>
      <c r="I23" s="107"/>
      <c r="J23" s="107"/>
    </row>
    <row r="24" spans="2:10" s="79" customFormat="1" ht="20.25" customHeight="1" x14ac:dyDescent="0.25">
      <c r="C24" s="184" t="s">
        <v>53</v>
      </c>
      <c r="D24" s="185"/>
      <c r="E24" s="204">
        <f t="shared" ref="E24:I24" si="7">+E6-E14</f>
        <v>-1533.3333333333333</v>
      </c>
      <c r="F24" s="204">
        <f t="shared" si="7"/>
        <v>-1876.8000000000002</v>
      </c>
      <c r="G24" s="204">
        <f t="shared" si="7"/>
        <v>-2297.2032000000004</v>
      </c>
      <c r="H24" s="204">
        <f t="shared" si="7"/>
        <v>-2811.7767168000005</v>
      </c>
      <c r="I24" s="204">
        <f t="shared" si="7"/>
        <v>-3441.6147013632003</v>
      </c>
      <c r="J24" s="204">
        <f t="shared" ref="J24" si="8">+J6-J14</f>
        <v>-4212.5363944685569</v>
      </c>
    </row>
    <row r="25" spans="2:10" s="79" customFormat="1" ht="20.25" customHeight="1" x14ac:dyDescent="0.25">
      <c r="C25" s="184" t="s">
        <v>54</v>
      </c>
      <c r="D25" s="314"/>
      <c r="E25" s="204">
        <f>E24-D24</f>
        <v>-1533.3333333333333</v>
      </c>
      <c r="F25" s="204">
        <f t="shared" ref="F25:J25" si="9">F24-E24</f>
        <v>-343.46666666666692</v>
      </c>
      <c r="G25" s="204">
        <f t="shared" si="9"/>
        <v>-420.4032000000002</v>
      </c>
      <c r="H25" s="204">
        <f t="shared" si="9"/>
        <v>-514.57351680000011</v>
      </c>
      <c r="I25" s="204">
        <f t="shared" si="9"/>
        <v>-629.83798456319983</v>
      </c>
      <c r="J25" s="204">
        <f t="shared" si="9"/>
        <v>-770.92169310535655</v>
      </c>
    </row>
    <row r="26" spans="2:10" x14ac:dyDescent="0.2"/>
    <row r="27" spans="2:10" s="79" customFormat="1" ht="17.25" customHeight="1" x14ac:dyDescent="0.25">
      <c r="C27" s="207" t="s">
        <v>35</v>
      </c>
      <c r="D27" s="206"/>
      <c r="E27" s="208">
        <f>+E28-E29</f>
        <v>9200</v>
      </c>
      <c r="F27" s="208">
        <f t="shared" ref="F27:J27" si="10">+F28-F29</f>
        <v>11260.800000000001</v>
      </c>
      <c r="G27" s="208">
        <f t="shared" si="10"/>
        <v>13783.219200000001</v>
      </c>
      <c r="H27" s="208">
        <f t="shared" si="10"/>
        <v>16870.660300800002</v>
      </c>
      <c r="I27" s="208">
        <f t="shared" si="10"/>
        <v>20649.688208179203</v>
      </c>
      <c r="J27" s="208">
        <f t="shared" si="10"/>
        <v>25275.218366811339</v>
      </c>
    </row>
    <row r="28" spans="2:10" s="79" customFormat="1" ht="17.25" customHeight="1" x14ac:dyDescent="0.25">
      <c r="C28" s="349" t="s">
        <v>230</v>
      </c>
      <c r="D28" s="350"/>
      <c r="E28" s="351">
        <f>+Pressupostos!G$45</f>
        <v>9200</v>
      </c>
      <c r="F28" s="351">
        <f>+Pressupostos!H$45</f>
        <v>11260.800000000001</v>
      </c>
      <c r="G28" s="351">
        <f>+Pressupostos!I$45</f>
        <v>13783.219200000001</v>
      </c>
      <c r="H28" s="351">
        <f>+Pressupostos!J$45</f>
        <v>16870.660300800002</v>
      </c>
      <c r="I28" s="351">
        <f>+Pressupostos!K$45</f>
        <v>20649.688208179203</v>
      </c>
      <c r="J28" s="351">
        <f>+Pressupostos!L$45</f>
        <v>25275.218366811339</v>
      </c>
    </row>
    <row r="29" spans="2:10" s="79" customFormat="1" ht="17.25" customHeight="1" x14ac:dyDescent="0.25">
      <c r="C29" s="349" t="s">
        <v>231</v>
      </c>
      <c r="D29" s="350"/>
      <c r="E29" s="351">
        <f>+Pressupostos!G$83+Pressupostos!G$109+Pressupostos!G$185+Pressupostos!G$212</f>
        <v>0</v>
      </c>
      <c r="F29" s="351">
        <f>+Pressupostos!H$83+Pressupostos!H$109+Pressupostos!H$185+Pressupostos!H$212</f>
        <v>0</v>
      </c>
      <c r="G29" s="351">
        <f>+Pressupostos!I$83+Pressupostos!I$109+Pressupostos!I$185+Pressupostos!I$212</f>
        <v>0</v>
      </c>
      <c r="H29" s="351">
        <f>+Pressupostos!J$83+Pressupostos!J$109+Pressupostos!J$185+Pressupostos!J$212</f>
        <v>0</v>
      </c>
      <c r="I29" s="351">
        <f>+Pressupostos!K$83+Pressupostos!K$109+Pressupostos!K$185+Pressupostos!K$212</f>
        <v>0</v>
      </c>
      <c r="J29" s="351">
        <f>+Pressupostos!L$83+Pressupostos!L$109+Pressupostos!L$185+Pressupostos!L$212</f>
        <v>0</v>
      </c>
    </row>
    <row r="30" spans="2:10" x14ac:dyDescent="0.2">
      <c r="C30" s="55"/>
    </row>
    <row r="31" spans="2:10" customFormat="1" ht="15" x14ac:dyDescent="0.25">
      <c r="B31" s="21"/>
      <c r="C31" s="684" t="s">
        <v>660</v>
      </c>
      <c r="D31" s="685"/>
      <c r="E31" s="7"/>
    </row>
    <row r="32" spans="2:10" customFormat="1" ht="15" x14ac:dyDescent="0.25">
      <c r="B32" s="21"/>
      <c r="D32" s="685"/>
      <c r="E32" s="7"/>
    </row>
    <row r="33" spans="2:5" customFormat="1" ht="15" x14ac:dyDescent="0.25">
      <c r="B33" s="21"/>
      <c r="D33" s="685"/>
      <c r="E33" s="7"/>
    </row>
    <row r="34" spans="2:5" customFormat="1" ht="15" x14ac:dyDescent="0.25">
      <c r="B34" s="21"/>
      <c r="D34" s="685"/>
      <c r="E34" s="7"/>
    </row>
    <row r="35" spans="2:5" customFormat="1" ht="15" x14ac:dyDescent="0.25">
      <c r="B35" s="21"/>
      <c r="D35" s="685"/>
      <c r="E35" s="7"/>
    </row>
    <row r="36" spans="2:5" x14ac:dyDescent="0.2"/>
    <row r="37" spans="2:5" x14ac:dyDescent="0.2"/>
    <row r="38" spans="2:5" x14ac:dyDescent="0.2"/>
    <row r="39" spans="2:5" x14ac:dyDescent="0.2"/>
    <row r="40" spans="2:5" x14ac:dyDescent="0.2"/>
    <row r="41" spans="2:5" x14ac:dyDescent="0.2"/>
    <row r="42" spans="2:5" x14ac:dyDescent="0.2"/>
    <row r="43" spans="2:5" x14ac:dyDescent="0.2"/>
    <row r="44" spans="2:5" x14ac:dyDescent="0.2"/>
    <row r="45" spans="2:5" x14ac:dyDescent="0.2"/>
    <row r="46" spans="2:5" x14ac:dyDescent="0.2"/>
    <row r="47" spans="2:5" x14ac:dyDescent="0.2"/>
    <row r="48" spans="2:5" x14ac:dyDescent="0.2"/>
    <row r="49" x14ac:dyDescent="0.2"/>
    <row r="50" x14ac:dyDescent="0.2"/>
    <row r="51" x14ac:dyDescent="0.2"/>
    <row r="52" x14ac:dyDescent="0.2"/>
    <row r="53" x14ac:dyDescent="0.2"/>
    <row r="54" x14ac:dyDescent="0.2"/>
    <row r="55" x14ac:dyDescent="0.2"/>
    <row r="56" x14ac:dyDescent="0.2"/>
    <row r="57" x14ac:dyDescent="0.2"/>
    <row r="58" ht="16.5" customHeight="1" x14ac:dyDescent="0.2"/>
    <row r="59" x14ac:dyDescent="0.2"/>
    <row r="60" x14ac:dyDescent="0.2"/>
  </sheetData>
  <sheetProtection algorithmName="SHA-512" hashValue="DGrEOvyFOiQGHPEYar9zWSjr4Ba+CfLSQDAtajj5CldJZwskKl7ITG+AEGtRUXRE0fF3OSj5s+cVgkNhW2qvyQ==" saltValue="us9Rtri67DaKzLVRZNeZ+w=="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N191"/>
  <sheetViews>
    <sheetView showGridLines="0" zoomScale="80" zoomScaleNormal="80" workbookViewId="0">
      <pane xSplit="3" ySplit="4" topLeftCell="D5" activePane="bottomRight" state="frozen"/>
      <selection pane="topRight" activeCell="E1" sqref="E1"/>
      <selection pane="bottomLeft" activeCell="A5" sqref="A5"/>
      <selection pane="bottomRight" activeCell="L5" sqref="L5"/>
    </sheetView>
  </sheetViews>
  <sheetFormatPr defaultColWidth="0" defaultRowHeight="0" customHeight="1" zeroHeight="1" x14ac:dyDescent="0.2"/>
  <cols>
    <col min="1" max="1" width="0.85546875" style="5" customWidth="1"/>
    <col min="2" max="2" width="5" style="5" customWidth="1"/>
    <col min="3" max="3" width="47" style="5" bestFit="1" customWidth="1"/>
    <col min="4" max="4" width="4.140625" style="5" customWidth="1"/>
    <col min="5" max="5" width="4.85546875" style="35" customWidth="1"/>
    <col min="6" max="11" width="10.85546875" style="5" customWidth="1"/>
    <col min="12" max="12" width="32.140625" style="5" customWidth="1"/>
    <col min="13" max="16384" width="9.140625" style="5" hidden="1"/>
  </cols>
  <sheetData>
    <row r="1" spans="1:12" ht="12.75" x14ac:dyDescent="0.2">
      <c r="A1" s="838"/>
      <c r="C1" s="55"/>
      <c r="D1" s="55"/>
    </row>
    <row r="2" spans="1:12" s="195" customFormat="1" ht="20.25" customHeight="1" x14ac:dyDescent="0.25">
      <c r="C2" s="196" t="s">
        <v>714</v>
      </c>
      <c r="D2" s="196"/>
      <c r="E2" s="225"/>
      <c r="F2" s="197"/>
      <c r="G2" s="197"/>
      <c r="H2" s="197"/>
      <c r="I2" s="197"/>
      <c r="J2" s="197"/>
      <c r="K2" s="197"/>
    </row>
    <row r="3" spans="1:12" ht="12.75" x14ac:dyDescent="0.2"/>
    <row r="4" spans="1:12" ht="13.5" thickBot="1" x14ac:dyDescent="0.25">
      <c r="C4" s="82" t="str">
        <f>+Capa!C13</f>
        <v>Gaming’Us</v>
      </c>
      <c r="D4" s="82"/>
      <c r="E4" s="38"/>
      <c r="F4" s="39">
        <f>+AnoN</f>
        <v>2023</v>
      </c>
      <c r="G4" s="39">
        <f>+F4+1</f>
        <v>2024</v>
      </c>
      <c r="H4" s="39">
        <f t="shared" ref="H4:K4" si="0">+G4+1</f>
        <v>2025</v>
      </c>
      <c r="I4" s="39">
        <f t="shared" si="0"/>
        <v>2026</v>
      </c>
      <c r="J4" s="39">
        <f t="shared" si="0"/>
        <v>2027</v>
      </c>
      <c r="K4" s="39">
        <f t="shared" si="0"/>
        <v>2028</v>
      </c>
    </row>
    <row r="5" spans="1:12" ht="13.5" thickTop="1" x14ac:dyDescent="0.2">
      <c r="C5" s="229"/>
      <c r="D5" s="229"/>
      <c r="E5" s="230"/>
      <c r="F5" s="231"/>
      <c r="G5" s="231"/>
      <c r="H5" s="231"/>
      <c r="I5" s="231"/>
      <c r="J5" s="231"/>
      <c r="K5" s="231"/>
    </row>
    <row r="6" spans="1:12" ht="17.25" customHeight="1" x14ac:dyDescent="0.2">
      <c r="B6" s="34"/>
      <c r="C6" s="215" t="s">
        <v>235</v>
      </c>
      <c r="D6" s="216"/>
      <c r="E6" s="217"/>
      <c r="F6" s="117">
        <f>+Pressupostos!G211</f>
        <v>0</v>
      </c>
      <c r="G6" s="117">
        <f>+Pressupostos!H211</f>
        <v>0</v>
      </c>
      <c r="H6" s="117">
        <f>+Pressupostos!I211</f>
        <v>0</v>
      </c>
      <c r="I6" s="117">
        <f>+Pressupostos!J211</f>
        <v>0</v>
      </c>
      <c r="J6" s="117">
        <f>+Pressupostos!K211</f>
        <v>0</v>
      </c>
      <c r="K6" s="117">
        <f>+Pressupostos!L211</f>
        <v>0</v>
      </c>
    </row>
    <row r="7" spans="1:12" ht="17.25" customHeight="1" x14ac:dyDescent="0.2">
      <c r="B7" s="56"/>
      <c r="C7" s="210" t="s">
        <v>208</v>
      </c>
      <c r="D7" s="211"/>
      <c r="E7" s="212"/>
      <c r="F7" s="118">
        <f>+Pressupostos!G213</f>
        <v>0</v>
      </c>
      <c r="G7" s="118">
        <f>+Pressupostos!H213</f>
        <v>0</v>
      </c>
      <c r="H7" s="118">
        <f>+Pressupostos!I213</f>
        <v>0</v>
      </c>
      <c r="I7" s="118">
        <f>+Pressupostos!J213</f>
        <v>0</v>
      </c>
      <c r="J7" s="118">
        <f>+Pressupostos!K213</f>
        <v>0</v>
      </c>
      <c r="K7" s="118">
        <f>+Pressupostos!L213</f>
        <v>0</v>
      </c>
      <c r="L7" s="67"/>
    </row>
    <row r="8" spans="1:12" ht="17.25" customHeight="1" x14ac:dyDescent="0.2">
      <c r="B8" s="34"/>
      <c r="C8" s="108" t="s">
        <v>197</v>
      </c>
      <c r="D8" s="213"/>
      <c r="E8" s="214"/>
      <c r="F8" s="74">
        <f>+Pressupostos!G214</f>
        <v>0</v>
      </c>
      <c r="G8" s="74">
        <f>+Pressupostos!H214</f>
        <v>0</v>
      </c>
      <c r="H8" s="74">
        <f>+Pressupostos!I214</f>
        <v>0</v>
      </c>
      <c r="I8" s="74">
        <f>+Pressupostos!J214</f>
        <v>0</v>
      </c>
      <c r="J8" s="74">
        <f>+Pressupostos!K214</f>
        <v>0</v>
      </c>
      <c r="K8" s="74">
        <f>+Pressupostos!L214</f>
        <v>0</v>
      </c>
      <c r="L8" s="67"/>
    </row>
    <row r="9" spans="1:12" ht="17.25" customHeight="1" x14ac:dyDescent="0.2">
      <c r="B9" s="34"/>
      <c r="C9" s="108" t="s">
        <v>19</v>
      </c>
      <c r="D9" s="213"/>
      <c r="E9" s="214"/>
      <c r="F9" s="74">
        <f>+Pressupostos!G215</f>
        <v>0</v>
      </c>
      <c r="G9" s="74">
        <f>+Pressupostos!H215</f>
        <v>0</v>
      </c>
      <c r="H9" s="74">
        <f>+Pressupostos!I215</f>
        <v>0</v>
      </c>
      <c r="I9" s="74">
        <f>+Pressupostos!J215</f>
        <v>0</v>
      </c>
      <c r="J9" s="74">
        <f>+Pressupostos!K215</f>
        <v>0</v>
      </c>
      <c r="K9" s="74">
        <f>+Pressupostos!L215</f>
        <v>0</v>
      </c>
      <c r="L9" s="67"/>
    </row>
    <row r="10" spans="1:12" ht="17.25" customHeight="1" x14ac:dyDescent="0.2">
      <c r="B10" s="34"/>
      <c r="C10" s="108" t="s">
        <v>361</v>
      </c>
      <c r="D10" s="213"/>
      <c r="E10" s="214"/>
      <c r="F10" s="74">
        <f>+Pressupostos!G216</f>
        <v>0</v>
      </c>
      <c r="G10" s="74">
        <f>+Pressupostos!H216</f>
        <v>0</v>
      </c>
      <c r="H10" s="74">
        <f>+Pressupostos!I216</f>
        <v>0</v>
      </c>
      <c r="I10" s="74">
        <f>+Pressupostos!J216</f>
        <v>0</v>
      </c>
      <c r="J10" s="74">
        <f>+Pressupostos!K216</f>
        <v>0</v>
      </c>
      <c r="K10" s="74">
        <f>+Pressupostos!L216</f>
        <v>0</v>
      </c>
      <c r="L10" s="67"/>
    </row>
    <row r="11" spans="1:12" ht="17.25" customHeight="1" x14ac:dyDescent="0.2">
      <c r="B11" s="34"/>
      <c r="C11" s="108" t="s">
        <v>38</v>
      </c>
      <c r="D11" s="213"/>
      <c r="E11" s="214"/>
      <c r="F11" s="74">
        <f>+Pressupostos!G217</f>
        <v>0</v>
      </c>
      <c r="G11" s="74">
        <f>+Pressupostos!H217</f>
        <v>0</v>
      </c>
      <c r="H11" s="74">
        <f>+Pressupostos!I217</f>
        <v>0</v>
      </c>
      <c r="I11" s="74">
        <f>+Pressupostos!J217</f>
        <v>0</v>
      </c>
      <c r="J11" s="74">
        <f>+Pressupostos!K217</f>
        <v>0</v>
      </c>
      <c r="K11" s="74">
        <f>+Pressupostos!L217</f>
        <v>0</v>
      </c>
      <c r="L11" s="67"/>
    </row>
    <row r="12" spans="1:12" ht="17.25" customHeight="1" x14ac:dyDescent="0.2">
      <c r="B12" s="34"/>
      <c r="C12" s="108" t="s">
        <v>40</v>
      </c>
      <c r="D12" s="213"/>
      <c r="E12" s="214"/>
      <c r="F12" s="74">
        <f>+Pressupostos!G218</f>
        <v>0</v>
      </c>
      <c r="G12" s="74">
        <f>+Pressupostos!H218</f>
        <v>0</v>
      </c>
      <c r="H12" s="74">
        <f>+Pressupostos!I218</f>
        <v>0</v>
      </c>
      <c r="I12" s="74">
        <f>+Pressupostos!J218</f>
        <v>0</v>
      </c>
      <c r="J12" s="74">
        <f>+Pressupostos!K218</f>
        <v>0</v>
      </c>
      <c r="K12" s="74">
        <f>+Pressupostos!L218</f>
        <v>0</v>
      </c>
      <c r="L12" s="67"/>
    </row>
    <row r="13" spans="1:12" ht="17.25" customHeight="1" x14ac:dyDescent="0.2">
      <c r="B13" s="34"/>
      <c r="C13" s="108" t="s">
        <v>39</v>
      </c>
      <c r="D13" s="213"/>
      <c r="E13" s="214"/>
      <c r="F13" s="74">
        <f>+Pressupostos!G219</f>
        <v>0</v>
      </c>
      <c r="G13" s="74">
        <f>+Pressupostos!H219</f>
        <v>0</v>
      </c>
      <c r="H13" s="74">
        <f>+Pressupostos!I219</f>
        <v>0</v>
      </c>
      <c r="I13" s="74">
        <f>+Pressupostos!J219</f>
        <v>0</v>
      </c>
      <c r="J13" s="74">
        <f>+Pressupostos!K219</f>
        <v>0</v>
      </c>
      <c r="K13" s="74">
        <f>+Pressupostos!L219</f>
        <v>0</v>
      </c>
      <c r="L13" s="67"/>
    </row>
    <row r="14" spans="1:12" ht="17.25" customHeight="1" x14ac:dyDescent="0.2">
      <c r="B14" s="56"/>
      <c r="C14" s="108" t="s">
        <v>561</v>
      </c>
      <c r="D14" s="213"/>
      <c r="E14" s="214"/>
      <c r="F14" s="74">
        <f>+Pressupostos!G220</f>
        <v>0</v>
      </c>
      <c r="G14" s="74">
        <f>+Pressupostos!H220</f>
        <v>0</v>
      </c>
      <c r="H14" s="74">
        <f>+Pressupostos!I220</f>
        <v>0</v>
      </c>
      <c r="I14" s="74">
        <f>+Pressupostos!J220</f>
        <v>0</v>
      </c>
      <c r="J14" s="74">
        <f>+Pressupostos!K220</f>
        <v>0</v>
      </c>
      <c r="K14" s="74">
        <f>+Pressupostos!L220</f>
        <v>0</v>
      </c>
      <c r="L14" s="67"/>
    </row>
    <row r="15" spans="1:12" ht="17.25" customHeight="1" x14ac:dyDescent="0.2">
      <c r="B15" s="56"/>
      <c r="C15" s="210" t="s">
        <v>129</v>
      </c>
      <c r="D15" s="211"/>
      <c r="E15" s="212"/>
      <c r="F15" s="118">
        <f>+Pressupostos!G221</f>
        <v>0</v>
      </c>
      <c r="G15" s="118">
        <f>+Pressupostos!H221</f>
        <v>0</v>
      </c>
      <c r="H15" s="118">
        <f>+Pressupostos!I221</f>
        <v>0</v>
      </c>
      <c r="I15" s="118">
        <f>+Pressupostos!J221</f>
        <v>0</v>
      </c>
      <c r="J15" s="118">
        <f>+Pressupostos!K221</f>
        <v>0</v>
      </c>
      <c r="K15" s="118">
        <f>+Pressupostos!L221</f>
        <v>0</v>
      </c>
      <c r="L15" s="67"/>
    </row>
    <row r="16" spans="1:12" ht="17.25" customHeight="1" x14ac:dyDescent="0.2">
      <c r="B16" s="34"/>
      <c r="C16" s="108" t="s">
        <v>41</v>
      </c>
      <c r="D16" s="213"/>
      <c r="E16" s="214"/>
      <c r="F16" s="74">
        <f>+Pressupostos!G222</f>
        <v>0</v>
      </c>
      <c r="G16" s="74">
        <f>+Pressupostos!H222</f>
        <v>0</v>
      </c>
      <c r="H16" s="74">
        <f>+Pressupostos!I222</f>
        <v>0</v>
      </c>
      <c r="I16" s="74">
        <f>+Pressupostos!J222</f>
        <v>0</v>
      </c>
      <c r="J16" s="74">
        <f>+Pressupostos!K222</f>
        <v>0</v>
      </c>
      <c r="K16" s="74">
        <f>+Pressupostos!L222</f>
        <v>0</v>
      </c>
      <c r="L16" s="67"/>
    </row>
    <row r="17" spans="2:12" ht="17.25" customHeight="1" x14ac:dyDescent="0.2">
      <c r="B17" s="34"/>
      <c r="C17" s="108" t="s">
        <v>125</v>
      </c>
      <c r="D17" s="213"/>
      <c r="E17" s="214"/>
      <c r="F17" s="74">
        <f>+Pressupostos!G223</f>
        <v>0</v>
      </c>
      <c r="G17" s="74">
        <f>+Pressupostos!H223</f>
        <v>0</v>
      </c>
      <c r="H17" s="74">
        <f>+Pressupostos!I223</f>
        <v>0</v>
      </c>
      <c r="I17" s="74">
        <f>+Pressupostos!J223</f>
        <v>0</v>
      </c>
      <c r="J17" s="74">
        <f>+Pressupostos!K223</f>
        <v>0</v>
      </c>
      <c r="K17" s="74">
        <f>+Pressupostos!L223</f>
        <v>0</v>
      </c>
      <c r="L17" s="67"/>
    </row>
    <row r="18" spans="2:12" ht="17.25" customHeight="1" x14ac:dyDescent="0.2">
      <c r="B18" s="34"/>
      <c r="C18" s="108" t="s">
        <v>124</v>
      </c>
      <c r="D18" s="213"/>
      <c r="E18" s="214"/>
      <c r="F18" s="74">
        <f>+Pressupostos!G224</f>
        <v>0</v>
      </c>
      <c r="G18" s="74">
        <f>+Pressupostos!H224</f>
        <v>0</v>
      </c>
      <c r="H18" s="74">
        <f>+Pressupostos!I224</f>
        <v>0</v>
      </c>
      <c r="I18" s="74">
        <f>+Pressupostos!J224</f>
        <v>0</v>
      </c>
      <c r="J18" s="74">
        <f>+Pressupostos!K224</f>
        <v>0</v>
      </c>
      <c r="K18" s="74">
        <f>+Pressupostos!L224</f>
        <v>0</v>
      </c>
      <c r="L18" s="67"/>
    </row>
    <row r="19" spans="2:12" ht="17.25" customHeight="1" x14ac:dyDescent="0.2">
      <c r="B19" s="34"/>
      <c r="C19" s="108" t="s">
        <v>560</v>
      </c>
      <c r="D19" s="213"/>
      <c r="E19" s="214"/>
      <c r="F19" s="74">
        <f>+Pressupostos!G225</f>
        <v>0</v>
      </c>
      <c r="G19" s="74">
        <f>+Pressupostos!H225</f>
        <v>0</v>
      </c>
      <c r="H19" s="74">
        <f>+Pressupostos!I225</f>
        <v>0</v>
      </c>
      <c r="I19" s="74">
        <f>+Pressupostos!J225</f>
        <v>0</v>
      </c>
      <c r="J19" s="74">
        <f>+Pressupostos!K225</f>
        <v>0</v>
      </c>
      <c r="K19" s="74">
        <f>+Pressupostos!L225</f>
        <v>0</v>
      </c>
      <c r="L19" s="67"/>
    </row>
    <row r="20" spans="2:12" ht="6.75" customHeight="1" x14ac:dyDescent="0.2">
      <c r="F20" s="72"/>
      <c r="G20" s="72"/>
      <c r="H20" s="72"/>
      <c r="I20" s="72"/>
      <c r="J20" s="72"/>
      <c r="K20" s="72"/>
    </row>
    <row r="21" spans="2:12" ht="17.25" customHeight="1" x14ac:dyDescent="0.2">
      <c r="B21" s="34"/>
      <c r="C21" s="215" t="s">
        <v>226</v>
      </c>
      <c r="D21" s="216"/>
      <c r="E21" s="217"/>
      <c r="F21" s="117">
        <f>+F22+F30</f>
        <v>0</v>
      </c>
      <c r="G21" s="117">
        <f t="shared" ref="G21:J21" si="1">+G22+G30</f>
        <v>0</v>
      </c>
      <c r="H21" s="117">
        <f t="shared" si="1"/>
        <v>0</v>
      </c>
      <c r="I21" s="117">
        <f t="shared" si="1"/>
        <v>0</v>
      </c>
      <c r="J21" s="117">
        <f t="shared" si="1"/>
        <v>0</v>
      </c>
      <c r="K21" s="117">
        <f t="shared" ref="K21" si="2">+K22+K30</f>
        <v>0</v>
      </c>
    </row>
    <row r="22" spans="2:12" ht="17.25" customHeight="1" x14ac:dyDescent="0.2">
      <c r="B22" s="56"/>
      <c r="C22" s="210" t="s">
        <v>208</v>
      </c>
      <c r="D22" s="211"/>
      <c r="E22" s="212"/>
      <c r="F22" s="118">
        <f>+SUM(F23:F29)</f>
        <v>0</v>
      </c>
      <c r="G22" s="118">
        <f t="shared" ref="G22:J22" si="3">+SUM(G23:G29)</f>
        <v>0</v>
      </c>
      <c r="H22" s="118">
        <f t="shared" si="3"/>
        <v>0</v>
      </c>
      <c r="I22" s="118">
        <f t="shared" si="3"/>
        <v>0</v>
      </c>
      <c r="J22" s="118">
        <f t="shared" si="3"/>
        <v>0</v>
      </c>
      <c r="K22" s="118">
        <f t="shared" ref="K22" si="4">+SUM(K23:K29)</f>
        <v>0</v>
      </c>
      <c r="L22" s="67"/>
    </row>
    <row r="23" spans="2:12" ht="17.25" customHeight="1" x14ac:dyDescent="0.2">
      <c r="B23" s="34"/>
      <c r="C23" s="108" t="s">
        <v>197</v>
      </c>
      <c r="D23" s="213"/>
      <c r="E23" s="214"/>
      <c r="F23" s="74">
        <f>+IFERROR(Pressupostos!G$214-'6. Investimento'!F38,0)</f>
        <v>0</v>
      </c>
      <c r="G23" s="74">
        <f>+IFERROR(F23+(Pressupostos!H214-'6. Investimento'!G38),"")</f>
        <v>0</v>
      </c>
      <c r="H23" s="74">
        <f>+IFERROR(G23+(Pressupostos!I214-'6. Investimento'!H38),"")</f>
        <v>0</v>
      </c>
      <c r="I23" s="74">
        <f>+IFERROR(H23+(Pressupostos!J214-'6. Investimento'!I38),"")</f>
        <v>0</v>
      </c>
      <c r="J23" s="74">
        <f>+IFERROR(I23+(Pressupostos!K214-'6. Investimento'!J38),"")</f>
        <v>0</v>
      </c>
      <c r="K23" s="74">
        <f>+IFERROR(J23+(Pressupostos!L214-'6. Investimento'!K38),"")</f>
        <v>0</v>
      </c>
      <c r="L23" s="67"/>
    </row>
    <row r="24" spans="2:12" ht="17.25" customHeight="1" x14ac:dyDescent="0.2">
      <c r="B24" s="34"/>
      <c r="C24" s="108" t="s">
        <v>19</v>
      </c>
      <c r="D24" s="213"/>
      <c r="E24" s="214"/>
      <c r="F24" s="74">
        <f>+IFERROR(Pressupostos!G$215-'6. Investimento'!F45,0)</f>
        <v>0</v>
      </c>
      <c r="G24" s="74">
        <f>+F24+(Pressupostos!H215-'6. Investimento'!G45)</f>
        <v>0</v>
      </c>
      <c r="H24" s="74">
        <f>+G24+(Pressupostos!I215-'6. Investimento'!H45)</f>
        <v>0</v>
      </c>
      <c r="I24" s="74">
        <f>+H24+(Pressupostos!J215-'6. Investimento'!I45)</f>
        <v>0</v>
      </c>
      <c r="J24" s="74">
        <f>+I24+(Pressupostos!K215-'6. Investimento'!J45)</f>
        <v>0</v>
      </c>
      <c r="K24" s="74">
        <f>+J24+(Pressupostos!L215-'6. Investimento'!K45)</f>
        <v>0</v>
      </c>
      <c r="L24" s="67"/>
    </row>
    <row r="25" spans="2:12" ht="17.25" customHeight="1" x14ac:dyDescent="0.2">
      <c r="B25" s="34"/>
      <c r="C25" s="108" t="s">
        <v>361</v>
      </c>
      <c r="D25" s="213"/>
      <c r="E25" s="214"/>
      <c r="F25" s="74">
        <f>+IFERROR(Pressupostos!G$216-'6. Investimento'!F52,0)</f>
        <v>0</v>
      </c>
      <c r="G25" s="74">
        <f>+F25+(Pressupostos!H216-'6. Investimento'!G52)</f>
        <v>0</v>
      </c>
      <c r="H25" s="74">
        <f>+G25+(Pressupostos!I216-'6. Investimento'!H52)</f>
        <v>0</v>
      </c>
      <c r="I25" s="74">
        <f>+H25+(Pressupostos!J216-'6. Investimento'!I52)</f>
        <v>0</v>
      </c>
      <c r="J25" s="74">
        <f>+I25+(Pressupostos!K216-'6. Investimento'!J52)</f>
        <v>0</v>
      </c>
      <c r="K25" s="74">
        <f>+J25+(Pressupostos!L216-'6. Investimento'!K52)</f>
        <v>0</v>
      </c>
      <c r="L25" s="67"/>
    </row>
    <row r="26" spans="2:12" ht="17.25" customHeight="1" x14ac:dyDescent="0.2">
      <c r="B26" s="34"/>
      <c r="C26" s="108" t="s">
        <v>38</v>
      </c>
      <c r="D26" s="213"/>
      <c r="E26" s="214"/>
      <c r="F26" s="74">
        <f>+IFERROR(Pressupostos!G$217-'6. Investimento'!F59,0)</f>
        <v>0</v>
      </c>
      <c r="G26" s="74">
        <f>+F26+(Pressupostos!H217-'6. Investimento'!G59)</f>
        <v>0</v>
      </c>
      <c r="H26" s="74">
        <f>+G26+(Pressupostos!I217-'6. Investimento'!H59)</f>
        <v>0</v>
      </c>
      <c r="I26" s="74">
        <f>+H26+(Pressupostos!J217-'6. Investimento'!I59)</f>
        <v>0</v>
      </c>
      <c r="J26" s="74">
        <f>+I26+(Pressupostos!K217-'6. Investimento'!J59)</f>
        <v>0</v>
      </c>
      <c r="K26" s="74">
        <f>+J26+(Pressupostos!L217-'6. Investimento'!K59)</f>
        <v>0</v>
      </c>
      <c r="L26" s="67"/>
    </row>
    <row r="27" spans="2:12" ht="17.25" customHeight="1" x14ac:dyDescent="0.2">
      <c r="B27" s="34"/>
      <c r="C27" s="108" t="s">
        <v>40</v>
      </c>
      <c r="D27" s="213"/>
      <c r="E27" s="214"/>
      <c r="F27" s="74">
        <f>+IFERROR(Pressupostos!G$218-'6. Investimento'!F66,0)</f>
        <v>0</v>
      </c>
      <c r="G27" s="74">
        <f>+F27+(Pressupostos!H218-'6. Investimento'!G66)</f>
        <v>0</v>
      </c>
      <c r="H27" s="74">
        <f>+G27+(Pressupostos!I218-'6. Investimento'!H66)</f>
        <v>0</v>
      </c>
      <c r="I27" s="74">
        <f>+H27+(Pressupostos!J218-'6. Investimento'!I66)</f>
        <v>0</v>
      </c>
      <c r="J27" s="74">
        <f>+I27+(Pressupostos!K218-'6. Investimento'!J66)</f>
        <v>0</v>
      </c>
      <c r="K27" s="74">
        <f>+J27+(Pressupostos!L218-'6. Investimento'!K66)</f>
        <v>0</v>
      </c>
      <c r="L27" s="67"/>
    </row>
    <row r="28" spans="2:12" ht="17.25" customHeight="1" x14ac:dyDescent="0.2">
      <c r="B28" s="34"/>
      <c r="C28" s="108" t="s">
        <v>39</v>
      </c>
      <c r="D28" s="213"/>
      <c r="E28" s="214"/>
      <c r="F28" s="74">
        <f>+IFERROR(Pressupostos!G$219-'6. Investimento'!F73,0)</f>
        <v>0</v>
      </c>
      <c r="G28" s="74">
        <f>+F28+(Pressupostos!H219-'6. Investimento'!G73)</f>
        <v>0</v>
      </c>
      <c r="H28" s="74">
        <f>+G28+(Pressupostos!I219-'6. Investimento'!H73)</f>
        <v>0</v>
      </c>
      <c r="I28" s="74">
        <f>+H28+(Pressupostos!J219-'6. Investimento'!I73)</f>
        <v>0</v>
      </c>
      <c r="J28" s="74">
        <f>+I28+(Pressupostos!K219-'6. Investimento'!J73)</f>
        <v>0</v>
      </c>
      <c r="K28" s="74">
        <f>+J28+(Pressupostos!L219-'6. Investimento'!K73)</f>
        <v>0</v>
      </c>
      <c r="L28" s="67"/>
    </row>
    <row r="29" spans="2:12" ht="17.25" customHeight="1" x14ac:dyDescent="0.2">
      <c r="B29" s="56"/>
      <c r="C29" s="108" t="s">
        <v>561</v>
      </c>
      <c r="D29" s="213"/>
      <c r="E29" s="214"/>
      <c r="F29" s="74">
        <f>+IFERROR(Pressupostos!G$220-'6. Investimento'!F80,0)</f>
        <v>0</v>
      </c>
      <c r="G29" s="74">
        <f>+F29+(Pressupostos!H220-'6. Investimento'!G80)</f>
        <v>0</v>
      </c>
      <c r="H29" s="74">
        <f>+G29+(Pressupostos!I220-'6. Investimento'!H80)</f>
        <v>0</v>
      </c>
      <c r="I29" s="74">
        <f>+H29+(Pressupostos!J220-'6. Investimento'!I80)</f>
        <v>0</v>
      </c>
      <c r="J29" s="74">
        <f>+I29+(Pressupostos!K220-'6. Investimento'!J80)</f>
        <v>0</v>
      </c>
      <c r="K29" s="74">
        <f>+J29+(Pressupostos!L220-'6. Investimento'!K80)</f>
        <v>0</v>
      </c>
      <c r="L29" s="67"/>
    </row>
    <row r="30" spans="2:12" ht="17.25" customHeight="1" x14ac:dyDescent="0.2">
      <c r="B30" s="56"/>
      <c r="C30" s="210" t="s">
        <v>129</v>
      </c>
      <c r="D30" s="211"/>
      <c r="E30" s="212"/>
      <c r="F30" s="118">
        <f>+SUM(F31:F34)</f>
        <v>0</v>
      </c>
      <c r="G30" s="118">
        <f t="shared" ref="G30:K30" si="5">+SUM(G31:G34)</f>
        <v>0</v>
      </c>
      <c r="H30" s="118">
        <f t="shared" si="5"/>
        <v>0</v>
      </c>
      <c r="I30" s="118">
        <f t="shared" si="5"/>
        <v>0</v>
      </c>
      <c r="J30" s="118">
        <f t="shared" si="5"/>
        <v>0</v>
      </c>
      <c r="K30" s="118">
        <f t="shared" si="5"/>
        <v>0</v>
      </c>
      <c r="L30" s="67"/>
    </row>
    <row r="31" spans="2:12" ht="17.25" customHeight="1" x14ac:dyDescent="0.2">
      <c r="B31" s="34"/>
      <c r="C31" s="108" t="s">
        <v>41</v>
      </c>
      <c r="D31" s="213"/>
      <c r="E31" s="214"/>
      <c r="F31" s="74">
        <f>+IFERROR(Pressupostos!G$222-'6. Investimento'!F88,0)</f>
        <v>0</v>
      </c>
      <c r="G31" s="74">
        <f>+F31+(Pressupostos!H222-'6. Investimento'!G88)</f>
        <v>0</v>
      </c>
      <c r="H31" s="74">
        <f>+G31+(Pressupostos!I222-'6. Investimento'!H88)</f>
        <v>0</v>
      </c>
      <c r="I31" s="74">
        <f>+H31+(Pressupostos!J222-'6. Investimento'!I88)</f>
        <v>0</v>
      </c>
      <c r="J31" s="74">
        <f>+I31+(Pressupostos!K222-'6. Investimento'!J88)</f>
        <v>0</v>
      </c>
      <c r="K31" s="74">
        <f>+J31+(Pressupostos!L222-'6. Investimento'!K88)</f>
        <v>0</v>
      </c>
      <c r="L31" s="67"/>
    </row>
    <row r="32" spans="2:12" ht="17.25" customHeight="1" x14ac:dyDescent="0.2">
      <c r="B32" s="34"/>
      <c r="C32" s="108" t="s">
        <v>125</v>
      </c>
      <c r="D32" s="213"/>
      <c r="E32" s="214"/>
      <c r="F32" s="74">
        <f>+IFERROR(Pressupostos!G$223-'6. Investimento'!F95,0)</f>
        <v>0</v>
      </c>
      <c r="G32" s="74">
        <f>+F32+(Pressupostos!H223-'6. Investimento'!G95)</f>
        <v>0</v>
      </c>
      <c r="H32" s="74">
        <f>+G32+(Pressupostos!I223-'6. Investimento'!H95)</f>
        <v>0</v>
      </c>
      <c r="I32" s="74">
        <f>+H32+(Pressupostos!J223-'6. Investimento'!I95)</f>
        <v>0</v>
      </c>
      <c r="J32" s="74">
        <f>+I32+(Pressupostos!K223-'6. Investimento'!J95)</f>
        <v>0</v>
      </c>
      <c r="K32" s="74">
        <f>+J32+(Pressupostos!L223-'6. Investimento'!K95)</f>
        <v>0</v>
      </c>
      <c r="L32" s="67"/>
    </row>
    <row r="33" spans="2:12" ht="17.25" customHeight="1" x14ac:dyDescent="0.2">
      <c r="B33" s="34"/>
      <c r="C33" s="108" t="s">
        <v>124</v>
      </c>
      <c r="D33" s="213"/>
      <c r="E33" s="214"/>
      <c r="F33" s="74">
        <f>+IFERROR(Pressupostos!G$224-'6. Investimento'!F102,0)</f>
        <v>0</v>
      </c>
      <c r="G33" s="74">
        <f>+F33+(Pressupostos!H224-'6. Investimento'!G102)</f>
        <v>0</v>
      </c>
      <c r="H33" s="74">
        <f>+G33+(Pressupostos!I224-'6. Investimento'!H102)</f>
        <v>0</v>
      </c>
      <c r="I33" s="74">
        <f>+H33+(Pressupostos!J224-'6. Investimento'!I102)</f>
        <v>0</v>
      </c>
      <c r="J33" s="74">
        <f>+I33+(Pressupostos!K224-'6. Investimento'!J102)</f>
        <v>0</v>
      </c>
      <c r="K33" s="74">
        <f>+J33+(Pressupostos!L224-'6. Investimento'!K102)</f>
        <v>0</v>
      </c>
      <c r="L33" s="67"/>
    </row>
    <row r="34" spans="2:12" ht="17.25" customHeight="1" x14ac:dyDescent="0.2">
      <c r="B34" s="34"/>
      <c r="C34" s="108" t="s">
        <v>560</v>
      </c>
      <c r="D34" s="213"/>
      <c r="E34" s="214"/>
      <c r="F34" s="74">
        <f>+IFERROR(Pressupostos!G$225-'6. Investimento'!F109,0)</f>
        <v>0</v>
      </c>
      <c r="G34" s="74">
        <f>+F34+(Pressupostos!H225-'6. Investimento'!G109)</f>
        <v>0</v>
      </c>
      <c r="H34" s="74">
        <f>+G34+(Pressupostos!I225-'6. Investimento'!H109)</f>
        <v>0</v>
      </c>
      <c r="I34" s="74">
        <f>+H34+(Pressupostos!J225-'6. Investimento'!I109)</f>
        <v>0</v>
      </c>
      <c r="J34" s="74">
        <f>+I34+(Pressupostos!K225-'6. Investimento'!J109)</f>
        <v>0</v>
      </c>
      <c r="K34" s="74">
        <f>+J34+(Pressupostos!L225-'6. Investimento'!K109)</f>
        <v>0</v>
      </c>
      <c r="L34" s="67"/>
    </row>
    <row r="35" spans="2:12" s="112" customFormat="1" ht="12.75" x14ac:dyDescent="0.2">
      <c r="C35" s="113"/>
      <c r="D35" s="114"/>
      <c r="E35" s="114"/>
      <c r="F35" s="115"/>
      <c r="G35" s="115"/>
      <c r="H35" s="115"/>
      <c r="I35" s="115"/>
      <c r="J35" s="115"/>
      <c r="K35" s="115"/>
      <c r="L35" s="116"/>
    </row>
    <row r="36" spans="2:12" s="79" customFormat="1" ht="17.25" customHeight="1" x14ac:dyDescent="0.25">
      <c r="B36" s="78"/>
      <c r="C36" s="330" t="s">
        <v>261</v>
      </c>
      <c r="D36" s="331" t="s">
        <v>37</v>
      </c>
      <c r="E36" s="332"/>
      <c r="F36" s="333">
        <f t="shared" ref="F36:K36" si="6">+F37+F87</f>
        <v>0</v>
      </c>
      <c r="G36" s="333">
        <f t="shared" si="6"/>
        <v>0</v>
      </c>
      <c r="H36" s="333">
        <f t="shared" si="6"/>
        <v>0</v>
      </c>
      <c r="I36" s="333">
        <f t="shared" si="6"/>
        <v>0</v>
      </c>
      <c r="J36" s="333">
        <f t="shared" si="6"/>
        <v>0</v>
      </c>
      <c r="K36" s="333">
        <f t="shared" si="6"/>
        <v>0</v>
      </c>
      <c r="L36" s="947"/>
    </row>
    <row r="37" spans="2:12" s="79" customFormat="1" ht="17.25" customHeight="1" x14ac:dyDescent="0.25">
      <c r="B37" s="174"/>
      <c r="C37" s="334" t="s">
        <v>208</v>
      </c>
      <c r="D37" s="335"/>
      <c r="E37" s="335"/>
      <c r="F37" s="336">
        <f t="shared" ref="F37:K37" si="7">+F38+F45+F52+F59+F66+F73+F80</f>
        <v>0</v>
      </c>
      <c r="G37" s="336">
        <f t="shared" si="7"/>
        <v>0</v>
      </c>
      <c r="H37" s="336">
        <f t="shared" si="7"/>
        <v>0</v>
      </c>
      <c r="I37" s="336">
        <f t="shared" si="7"/>
        <v>0</v>
      </c>
      <c r="J37" s="336">
        <f t="shared" si="7"/>
        <v>0</v>
      </c>
      <c r="K37" s="336">
        <f t="shared" si="7"/>
        <v>0</v>
      </c>
      <c r="L37" s="947"/>
    </row>
    <row r="38" spans="2:12" s="70" customFormat="1" ht="17.25" customHeight="1" x14ac:dyDescent="0.2">
      <c r="B38" s="119" t="s">
        <v>1</v>
      </c>
      <c r="C38" s="337" t="s">
        <v>197</v>
      </c>
      <c r="D38" s="338"/>
      <c r="E38" s="338"/>
      <c r="F38" s="339">
        <f t="shared" ref="F38:K38" si="8">SUBTOTAL(9,F39:F44)</f>
        <v>0</v>
      </c>
      <c r="G38" s="339">
        <f t="shared" si="8"/>
        <v>0</v>
      </c>
      <c r="H38" s="339">
        <f t="shared" si="8"/>
        <v>0</v>
      </c>
      <c r="I38" s="339">
        <f t="shared" si="8"/>
        <v>0</v>
      </c>
      <c r="J38" s="339">
        <f t="shared" si="8"/>
        <v>0</v>
      </c>
      <c r="K38" s="339">
        <f t="shared" si="8"/>
        <v>0</v>
      </c>
      <c r="L38" s="947"/>
    </row>
    <row r="39" spans="2:12" ht="17.25" customHeight="1" x14ac:dyDescent="0.2">
      <c r="B39" s="34"/>
      <c r="C39" s="340" t="s">
        <v>197</v>
      </c>
      <c r="D39" s="341">
        <v>0</v>
      </c>
      <c r="E39" s="341"/>
      <c r="F39" s="74">
        <f>+IFERROR(IF(Pressupostos!G$14=0,0,IF(Pressupostos!$G214&gt;SUM('6. Investimento'!E39:$E39),MIN(((Pressupostos!$G214/Pressupostos!$E214/12)*Pressupostos!G$14),(Pressupostos!$G214-SUM('6. Investimento'!E39:$E39))),0)),"0")</f>
        <v>0</v>
      </c>
      <c r="G39" s="74">
        <f>+IFERROR(IF(Pressupostos!H$14=0,0,IF(Pressupostos!$G214&gt;SUM('6. Investimento'!F39:$F39),MIN(((Pressupostos!$G214/Pressupostos!$E214/12)*Pressupostos!H$14),(Pressupostos!$G214-SUM('6. Investimento'!F39:$F39))),0)),"0")</f>
        <v>0</v>
      </c>
      <c r="H39" s="74">
        <f>+IFERROR(IF(Pressupostos!I$14=0,0,IF(Pressupostos!$G214&gt;SUM('6. Investimento'!$F39:G39),MIN(((Pressupostos!$G214/Pressupostos!$E214/12)*Pressupostos!I$14),(Pressupostos!$G214-SUM('6. Investimento'!$F39:G39))),0)),"0")</f>
        <v>0</v>
      </c>
      <c r="I39" s="74">
        <f>+IFERROR(IF(Pressupostos!J$14=0,0,IF(Pressupostos!$G214&gt;SUM('6. Investimento'!$F39:H39),MIN(((Pressupostos!$G214/Pressupostos!$E214/12)*Pressupostos!J$14),(Pressupostos!$G214-SUM('6. Investimento'!$F39:H39))),0)),"0")</f>
        <v>0</v>
      </c>
      <c r="J39" s="74">
        <f>+IFERROR(IF(Pressupostos!K$14=0,0,IF(Pressupostos!$G214&gt;SUM('6. Investimento'!$F39:I39),MIN(((Pressupostos!$G214/Pressupostos!$E214/12)*Pressupostos!K$14),(Pressupostos!$G214-SUM('6. Investimento'!$F39:I39))),0)),"0")</f>
        <v>0</v>
      </c>
      <c r="K39" s="74">
        <f>+IFERROR(IF(Pressupostos!L$14=0,0,IF(Pressupostos!$G214&gt;SUM('6. Investimento'!$F39:J39),MIN(((Pressupostos!$G214/Pressupostos!$E214/12)*Pressupostos!L$14),(Pressupostos!$G214-SUM('6. Investimento'!$F39:J39))),0)),"0")</f>
        <v>0</v>
      </c>
      <c r="L39" s="947"/>
    </row>
    <row r="40" spans="2:12" ht="17.25" customHeight="1" x14ac:dyDescent="0.2">
      <c r="B40" s="34"/>
      <c r="C40" s="340" t="s">
        <v>197</v>
      </c>
      <c r="D40" s="341">
        <v>0</v>
      </c>
      <c r="E40" s="341"/>
      <c r="F40" s="74"/>
      <c r="G40" s="74">
        <f>+IFERROR(IF(Pressupostos!H$14=0,0,IF(Pressupostos!$H$214&gt;SUM('6. Investimento'!F40:$F40),MIN(((Pressupostos!$H$214/Pressupostos!$E$214/12)*Pressupostos!H$14),(Pressupostos!$H$214-SUM('6. Investimento'!F40:$F40))),0)),"0")</f>
        <v>0</v>
      </c>
      <c r="H40" s="74">
        <f>+IFERROR(IF(Pressupostos!I$14=0,0,IF(Pressupostos!$H$214&gt;SUM('6. Investimento'!$F40:G40),MIN(((Pressupostos!$H$214/Pressupostos!$E$214/12)*Pressupostos!I$14),(Pressupostos!$H$214-SUM('6. Investimento'!$F40:G40))),0)),"0")</f>
        <v>0</v>
      </c>
      <c r="I40" s="74">
        <f>+IFERROR(IF(Pressupostos!J$14=0,0,IF(Pressupostos!$H$214&gt;SUM('6. Investimento'!$F40:H40),MIN(((Pressupostos!$H$214/Pressupostos!$E$214/12)*Pressupostos!J$14),(Pressupostos!$H$214-SUM('6. Investimento'!$F40:H40))),0)),"0")</f>
        <v>0</v>
      </c>
      <c r="J40" s="74">
        <f>+IFERROR(IF(Pressupostos!K$14=0,0,IF(Pressupostos!$H$214&gt;SUM('6. Investimento'!$F40:I40),MIN(((Pressupostos!$H$214/Pressupostos!$E$214/12)*Pressupostos!K$14),(Pressupostos!$H$214-SUM('6. Investimento'!$F40:I40))),0)),"0")</f>
        <v>0</v>
      </c>
      <c r="K40" s="74">
        <f>+IFERROR(IF(Pressupostos!L$14=0,0,IF(Pressupostos!$H$214&gt;SUM('6. Investimento'!$F40:J40),MIN(((Pressupostos!$H$214/Pressupostos!$E$214/12)*Pressupostos!L$14),(Pressupostos!$H$214-SUM('6. Investimento'!$F40:J40))),0)),"0")</f>
        <v>0</v>
      </c>
      <c r="L40" s="947"/>
    </row>
    <row r="41" spans="2:12" ht="17.25" customHeight="1" x14ac:dyDescent="0.2">
      <c r="B41" s="34"/>
      <c r="C41" s="340" t="s">
        <v>197</v>
      </c>
      <c r="D41" s="341">
        <v>0</v>
      </c>
      <c r="E41" s="341"/>
      <c r="F41" s="74"/>
      <c r="G41" s="74"/>
      <c r="H41" s="74">
        <f>+IF(Pressupostos!I$14=0,0,IF(Pressupostos!$I$214&gt;SUM('6. Investimento'!$F41:G41),MIN(((Pressupostos!$I$214/Pressupostos!$E$214/12)*Pressupostos!I$14),(Pressupostos!$I$214-SUM('6. Investimento'!$F41:G41))),0))</f>
        <v>0</v>
      </c>
      <c r="I41" s="74">
        <f>+IF(Pressupostos!J$14=0,0,IF(Pressupostos!$I$214&gt;SUM('6. Investimento'!$F41:H41),MIN(((Pressupostos!$I$214/Pressupostos!$E$214/12)*Pressupostos!J$14),(Pressupostos!$I$214-SUM('6. Investimento'!$F41:H41))),0))</f>
        <v>0</v>
      </c>
      <c r="J41" s="74">
        <f>+IF(Pressupostos!K$14=0,0,IF(Pressupostos!$I$214&gt;SUM('6. Investimento'!$F41:I41),MIN(((Pressupostos!$I$214/Pressupostos!$E$214/12)*Pressupostos!K$14),(Pressupostos!$I$214-SUM('6. Investimento'!$F41:I41))),0))</f>
        <v>0</v>
      </c>
      <c r="K41" s="74">
        <f>+IF(Pressupostos!L$14=0,0,IF(Pressupostos!$I$214&gt;SUM('6. Investimento'!$F41:J41),MIN(((Pressupostos!$I$214/Pressupostos!$E$214/12)*Pressupostos!L$14),(Pressupostos!$I$214-SUM('6. Investimento'!$F41:J41))),0))</f>
        <v>0</v>
      </c>
      <c r="L41" s="947"/>
    </row>
    <row r="42" spans="2:12" ht="17.25" customHeight="1" x14ac:dyDescent="0.2">
      <c r="B42" s="34"/>
      <c r="C42" s="340" t="s">
        <v>197</v>
      </c>
      <c r="D42" s="341">
        <v>0</v>
      </c>
      <c r="E42" s="341"/>
      <c r="F42" s="74"/>
      <c r="G42" s="74"/>
      <c r="H42" s="74"/>
      <c r="I42" s="74">
        <f>+IF(Pressupostos!J$14=0,0,IF(Pressupostos!$J$214&gt;SUM('6. Investimento'!$F42:H42),MIN(((Pressupostos!$J$214/Pressupostos!$E$214/12)*Pressupostos!J$14),(Pressupostos!$J$214-SUM('6. Investimento'!$F42:H42))),0))</f>
        <v>0</v>
      </c>
      <c r="J42" s="74">
        <f>+IF(Pressupostos!K$14=0,0,IF(Pressupostos!$J$214&gt;SUM('6. Investimento'!$F42:I42),MIN(((Pressupostos!$J$214/Pressupostos!$E$214/12)*Pressupostos!K$14),(Pressupostos!$J$214-SUM('6. Investimento'!$F42:I42))),0))</f>
        <v>0</v>
      </c>
      <c r="K42" s="74">
        <f>+IF(Pressupostos!L$14=0,0,IF(Pressupostos!$J$214&gt;SUM('6. Investimento'!$F42:J42),MIN(((Pressupostos!$J$214/Pressupostos!$E$214/12)*Pressupostos!L$14),(Pressupostos!$J$214-SUM('6. Investimento'!$F42:J42))),0))</f>
        <v>0</v>
      </c>
      <c r="L42" s="947"/>
    </row>
    <row r="43" spans="2:12" ht="17.25" customHeight="1" x14ac:dyDescent="0.2">
      <c r="B43" s="34"/>
      <c r="C43" s="340" t="s">
        <v>197</v>
      </c>
      <c r="D43" s="341">
        <v>0</v>
      </c>
      <c r="E43" s="341"/>
      <c r="F43" s="74"/>
      <c r="G43" s="74"/>
      <c r="H43" s="74"/>
      <c r="I43" s="74"/>
      <c r="J43" s="74">
        <f>+IF(Pressupostos!K$14=0,0,IF(Pressupostos!$K$214&gt;SUM('6. Investimento'!$F43:I43),MIN(((Pressupostos!$K$214/Pressupostos!$E$214/12)*Pressupostos!K$14),(Pressupostos!$K$214-SUM('6. Investimento'!$F43:I43))),0))</f>
        <v>0</v>
      </c>
      <c r="K43" s="74">
        <f>+IF(Pressupostos!L$14=0,0,IF(Pressupostos!$K$214&gt;SUM('6. Investimento'!$F43:J43),MIN(((Pressupostos!$K$214/Pressupostos!$E$214/12)*Pressupostos!L$14),(Pressupostos!$K$214-SUM('6. Investimento'!$F43:J43))),0))</f>
        <v>0</v>
      </c>
      <c r="L43" s="947"/>
    </row>
    <row r="44" spans="2:12" ht="17.25" customHeight="1" x14ac:dyDescent="0.2">
      <c r="B44" s="34"/>
      <c r="C44" s="340" t="s">
        <v>197</v>
      </c>
      <c r="D44" s="341">
        <v>0</v>
      </c>
      <c r="E44" s="341"/>
      <c r="F44" s="74"/>
      <c r="G44" s="74"/>
      <c r="H44" s="74"/>
      <c r="I44" s="74"/>
      <c r="J44" s="74"/>
      <c r="K44" s="74"/>
      <c r="L44" s="947"/>
    </row>
    <row r="45" spans="2:12" s="70" customFormat="1" ht="17.25" customHeight="1" x14ac:dyDescent="0.2">
      <c r="B45" s="119" t="s">
        <v>1</v>
      </c>
      <c r="C45" s="337" t="s">
        <v>19</v>
      </c>
      <c r="D45" s="338"/>
      <c r="E45" s="338"/>
      <c r="F45" s="339">
        <f t="shared" ref="F45:K45" si="9">SUBTOTAL(9,F46:F51)</f>
        <v>0</v>
      </c>
      <c r="G45" s="339">
        <f t="shared" si="9"/>
        <v>0</v>
      </c>
      <c r="H45" s="339">
        <f t="shared" si="9"/>
        <v>0</v>
      </c>
      <c r="I45" s="339">
        <f t="shared" si="9"/>
        <v>0</v>
      </c>
      <c r="J45" s="339">
        <f t="shared" si="9"/>
        <v>0</v>
      </c>
      <c r="K45" s="339">
        <f t="shared" si="9"/>
        <v>0</v>
      </c>
      <c r="L45" s="120"/>
    </row>
    <row r="46" spans="2:12" ht="17.25" customHeight="1" x14ac:dyDescent="0.2">
      <c r="B46" s="34"/>
      <c r="C46" s="340" t="s">
        <v>19</v>
      </c>
      <c r="D46" s="341">
        <v>1</v>
      </c>
      <c r="E46" s="341"/>
      <c r="F46" s="74">
        <f>+IF(Pressupostos!G$14=0,0,IF(Pressupostos!$G215&gt;SUM('6. Investimento'!E46:$E46),MIN(((Pressupostos!$G215/Pressupostos!$E215/12)*Pressupostos!G$14),(Pressupostos!$G215-SUM('6. Investimento'!E46:$E46))),0))</f>
        <v>0</v>
      </c>
      <c r="G46" s="74">
        <f>+IF(Pressupostos!H$14=0,0,IF(Pressupostos!$G215&gt;SUM('6. Investimento'!F46:$F46),MIN(((Pressupostos!$G215/Pressupostos!$E215/12)*Pressupostos!H$14),(Pressupostos!$G215-SUM('6. Investimento'!F46:$F46))),0))</f>
        <v>0</v>
      </c>
      <c r="H46" s="74">
        <f>+IF(Pressupostos!I$14=0,0,IF(Pressupostos!$G215&gt;SUM('6. Investimento'!$F46:G46),MIN(((Pressupostos!$G215/Pressupostos!$E215/12)*Pressupostos!I$14),(Pressupostos!$G215-SUM('6. Investimento'!$F46:G46))),0))</f>
        <v>0</v>
      </c>
      <c r="I46" s="74">
        <f>+IF(Pressupostos!J$14=0,0,IF(Pressupostos!$G215&gt;SUM('6. Investimento'!$F46:H46),MIN(((Pressupostos!$G215/Pressupostos!$E215/12)*Pressupostos!J$14),(Pressupostos!$G215-SUM('6. Investimento'!$F46:H46))),0))</f>
        <v>0</v>
      </c>
      <c r="J46" s="74">
        <f>+IF(Pressupostos!K$14=0,0,IF(Pressupostos!$G215&gt;SUM('6. Investimento'!$F46:I46),MIN(((Pressupostos!$G215/Pressupostos!$E215/12)*Pressupostos!K$14),(Pressupostos!$G215-SUM('6. Investimento'!$F46:I46))),0))</f>
        <v>0</v>
      </c>
      <c r="K46" s="74">
        <f>+IF(Pressupostos!L$14=0,0,IF(Pressupostos!$G215&gt;SUM('6. Investimento'!$F46:J46),MIN(((Pressupostos!$G215/Pressupostos!$E215/12)*Pressupostos!L$14),(Pressupostos!$G215-SUM('6. Investimento'!$F46:J46))),0))</f>
        <v>0</v>
      </c>
      <c r="L46" s="67"/>
    </row>
    <row r="47" spans="2:12" ht="17.25" customHeight="1" x14ac:dyDescent="0.2">
      <c r="B47" s="34"/>
      <c r="C47" s="340" t="s">
        <v>19</v>
      </c>
      <c r="D47" s="341">
        <v>1</v>
      </c>
      <c r="E47" s="341"/>
      <c r="F47" s="74"/>
      <c r="G47" s="74">
        <f>+IF(Pressupostos!H$14=0,0,IF(Pressupostos!$H$215&gt;SUM('6. Investimento'!F47:$F47),MIN(((Pressupostos!$H$215/Pressupostos!$E$215/12)*Pressupostos!H$14),(Pressupostos!$H$215-SUM('6. Investimento'!F47:$F47))),0))</f>
        <v>0</v>
      </c>
      <c r="H47" s="74">
        <f>+IF(Pressupostos!I$14=0,0,IF(Pressupostos!$H$215&gt;SUM('6. Investimento'!$F47:G47),MIN(((Pressupostos!$H$215/Pressupostos!$E$215/12)*Pressupostos!I$14),(Pressupostos!$H$215-SUM('6. Investimento'!$F47:G47))),0))</f>
        <v>0</v>
      </c>
      <c r="I47" s="74">
        <f>+IF(Pressupostos!J$14=0,0,IF(Pressupostos!$H$215&gt;SUM('6. Investimento'!$F47:H47),MIN(((Pressupostos!$H$215/Pressupostos!$E$215/12)*Pressupostos!J$14),(Pressupostos!$H$215-SUM('6. Investimento'!$F47:H47))),0))</f>
        <v>0</v>
      </c>
      <c r="J47" s="74">
        <f>+IF(Pressupostos!K$14=0,0,IF(Pressupostos!$H$215&gt;SUM('6. Investimento'!$F47:I47),MIN(((Pressupostos!$H$215/Pressupostos!$E$215/12)*Pressupostos!K$14),(Pressupostos!$H$215-SUM('6. Investimento'!$F47:I47))),0))</f>
        <v>0</v>
      </c>
      <c r="K47" s="74">
        <f>+IF(Pressupostos!L$14=0,0,IF(Pressupostos!$H$215&gt;SUM('6. Investimento'!$F47:J47),MIN(((Pressupostos!$H$215/Pressupostos!$E$215/12)*Pressupostos!L$14),(Pressupostos!$H$215-SUM('6. Investimento'!$F47:J47))),0))</f>
        <v>0</v>
      </c>
      <c r="L47" s="67"/>
    </row>
    <row r="48" spans="2:12" ht="17.25" customHeight="1" x14ac:dyDescent="0.2">
      <c r="B48" s="34"/>
      <c r="C48" s="340" t="s">
        <v>19</v>
      </c>
      <c r="D48" s="341">
        <v>1</v>
      </c>
      <c r="E48" s="341"/>
      <c r="F48" s="74"/>
      <c r="G48" s="74"/>
      <c r="H48" s="74">
        <f>+IF(Pressupostos!I$14=0,0,IF(Pressupostos!$I$215&gt;SUM('6. Investimento'!$F48:G48),MIN(((Pressupostos!$I$215/Pressupostos!$E$215/12)*Pressupostos!I$14),(Pressupostos!$I$215-SUM('6. Investimento'!$F48:G48))),0))</f>
        <v>0</v>
      </c>
      <c r="I48" s="74">
        <f>+IF(Pressupostos!J$14=0,0,IF(Pressupostos!$I$215&gt;SUM('6. Investimento'!$F48:H48),MIN(((Pressupostos!$I$215/Pressupostos!$E$215/12)*Pressupostos!J$14),(Pressupostos!$I$215-SUM('6. Investimento'!$F48:H48))),0))</f>
        <v>0</v>
      </c>
      <c r="J48" s="74">
        <f>+IF(Pressupostos!K$14=0,0,IF(Pressupostos!$I$215&gt;SUM('6. Investimento'!$F48:I48),MIN(((Pressupostos!$I$215/Pressupostos!$E$215/12)*Pressupostos!K$14),(Pressupostos!$I$215-SUM('6. Investimento'!$F48:I48))),0))</f>
        <v>0</v>
      </c>
      <c r="K48" s="74">
        <f>+IF(Pressupostos!L$14=0,0,IF(Pressupostos!$I$215&gt;SUM('6. Investimento'!$F48:J48),MIN(((Pressupostos!$I$215/Pressupostos!$E$215/12)*Pressupostos!L$14),(Pressupostos!$I$215-SUM('6. Investimento'!$F48:J48))),0))</f>
        <v>0</v>
      </c>
      <c r="L48" s="67"/>
    </row>
    <row r="49" spans="2:12" ht="17.25" customHeight="1" x14ac:dyDescent="0.2">
      <c r="B49" s="34"/>
      <c r="C49" s="340" t="s">
        <v>19</v>
      </c>
      <c r="D49" s="341">
        <v>1</v>
      </c>
      <c r="E49" s="341"/>
      <c r="F49" s="74"/>
      <c r="G49" s="74"/>
      <c r="H49" s="74"/>
      <c r="I49" s="74">
        <f>+IF(Pressupostos!J$14=0,0,IF(Pressupostos!$J$215&gt;SUM('6. Investimento'!$F49:H49),MIN(((Pressupostos!$J$215/Pressupostos!$E$215/12)*Pressupostos!J$14),(Pressupostos!$J$215-SUM('6. Investimento'!$F49:H49))),0))</f>
        <v>0</v>
      </c>
      <c r="J49" s="74">
        <f>+IF(Pressupostos!K$14=0,0,IF(Pressupostos!$J$215&gt;SUM('6. Investimento'!$F49:I49),MIN(((Pressupostos!$J$215/Pressupostos!$E$215/12)*Pressupostos!K$14),(Pressupostos!$J$215-SUM('6. Investimento'!$F49:I49))),0))</f>
        <v>0</v>
      </c>
      <c r="K49" s="74">
        <f>+IF(Pressupostos!L$14=0,0,IF(Pressupostos!$J$215&gt;SUM('6. Investimento'!$F49:J49),MIN(((Pressupostos!$J$215/Pressupostos!$E$215/12)*Pressupostos!L$14),(Pressupostos!$J$215-SUM('6. Investimento'!$F49:J49))),0))</f>
        <v>0</v>
      </c>
      <c r="L49" s="67"/>
    </row>
    <row r="50" spans="2:12" ht="17.25" customHeight="1" x14ac:dyDescent="0.2">
      <c r="B50" s="34"/>
      <c r="C50" s="340" t="s">
        <v>19</v>
      </c>
      <c r="D50" s="341">
        <v>1</v>
      </c>
      <c r="E50" s="341"/>
      <c r="F50" s="74"/>
      <c r="G50" s="74"/>
      <c r="H50" s="74"/>
      <c r="I50" s="74"/>
      <c r="J50" s="74">
        <f>+IF(Pressupostos!K$14=0,0,IF(Pressupostos!$K$215&gt;SUM('6. Investimento'!$F50:I50),MIN(((Pressupostos!$K$215/Pressupostos!$E$215/12)*Pressupostos!K$14),(Pressupostos!$K$215-SUM('6. Investimento'!$F50:I50))),0))</f>
        <v>0</v>
      </c>
      <c r="K50" s="74">
        <f>+IF(Pressupostos!L$14=0,0,IF(Pressupostos!$K$215&gt;SUM('6. Investimento'!$F50:J50),MIN(((Pressupostos!$K$215/Pressupostos!$E$215/12)*Pressupostos!L$14),(Pressupostos!$K$215-SUM('6. Investimento'!$F50:J50))),0))</f>
        <v>0</v>
      </c>
      <c r="L50" s="67"/>
    </row>
    <row r="51" spans="2:12" ht="17.25" customHeight="1" x14ac:dyDescent="0.2">
      <c r="B51" s="34"/>
      <c r="C51" s="340" t="s">
        <v>19</v>
      </c>
      <c r="D51" s="341">
        <v>1</v>
      </c>
      <c r="E51" s="341"/>
      <c r="F51" s="74"/>
      <c r="G51" s="74"/>
      <c r="H51" s="74"/>
      <c r="I51" s="74"/>
      <c r="J51" s="74"/>
      <c r="K51" s="74">
        <f>+IF(Pressupostos!L$14=0,0,IF(Pressupostos!$K$215&gt;SUM('6. Investimento'!$F51:J51),MIN(((Pressupostos!$K$215/Pressupostos!$E$215/12)*Pressupostos!L$14),(Pressupostos!$K$215-SUM('6. Investimento'!$F51:J51))),0))</f>
        <v>0</v>
      </c>
      <c r="L51" s="67"/>
    </row>
    <row r="52" spans="2:12" s="70" customFormat="1" ht="17.25" customHeight="1" x14ac:dyDescent="0.2">
      <c r="B52" s="119" t="s">
        <v>1</v>
      </c>
      <c r="C52" s="337" t="s">
        <v>361</v>
      </c>
      <c r="D52" s="338"/>
      <c r="E52" s="338"/>
      <c r="F52" s="339">
        <f t="shared" ref="F52:K52" si="10">SUBTOTAL(9,F53:F58)</f>
        <v>0</v>
      </c>
      <c r="G52" s="339">
        <f t="shared" si="10"/>
        <v>0</v>
      </c>
      <c r="H52" s="339">
        <f t="shared" si="10"/>
        <v>0</v>
      </c>
      <c r="I52" s="339">
        <f t="shared" si="10"/>
        <v>0</v>
      </c>
      <c r="J52" s="339">
        <f t="shared" si="10"/>
        <v>0</v>
      </c>
      <c r="K52" s="339">
        <f t="shared" si="10"/>
        <v>0</v>
      </c>
      <c r="L52" s="120"/>
    </row>
    <row r="53" spans="2:12" ht="17.25" customHeight="1" x14ac:dyDescent="0.2">
      <c r="B53" s="34"/>
      <c r="C53" s="340" t="s">
        <v>361</v>
      </c>
      <c r="D53" s="341">
        <v>2</v>
      </c>
      <c r="E53" s="341"/>
      <c r="F53" s="74">
        <f>+IF(Pressupostos!G$14=0,0,IF(Pressupostos!$G216&gt;SUM('6. Investimento'!E53:$E53),MIN(((Pressupostos!$G216/Pressupostos!$E216/12)*Pressupostos!G$14),(Pressupostos!$G216-SUM('6. Investimento'!E53:$E53))),0))</f>
        <v>0</v>
      </c>
      <c r="G53" s="74">
        <f>+IF(Pressupostos!H$14=0,0,IF(Pressupostos!$G216&gt;SUM('6. Investimento'!F53:$F53),MIN(((Pressupostos!$G216/Pressupostos!$E216/12)*Pressupostos!H$14),(Pressupostos!$G216-SUM('6. Investimento'!F53:$F53))),0))</f>
        <v>0</v>
      </c>
      <c r="H53" s="74">
        <f>+IF(Pressupostos!I$14=0,0,IF(Pressupostos!$G216&gt;SUM('6. Investimento'!$F53:G53),MIN(((Pressupostos!$G216/Pressupostos!$E216/12)*Pressupostos!I$14),(Pressupostos!$G216-SUM('6. Investimento'!$F53:G53))),0))</f>
        <v>0</v>
      </c>
      <c r="I53" s="74">
        <f>+IF(Pressupostos!J$14=0,0,IF(Pressupostos!$G216&gt;SUM('6. Investimento'!$F53:H53),MIN(((Pressupostos!$G216/Pressupostos!$E216/12)*Pressupostos!J$14),(Pressupostos!$G216-SUM('6. Investimento'!$F53:H53))),0))</f>
        <v>0</v>
      </c>
      <c r="J53" s="74">
        <f>+IF(Pressupostos!K$14=0,0,IF(Pressupostos!$G216&gt;SUM('6. Investimento'!$F53:I53),MIN(((Pressupostos!$G216/Pressupostos!$E216/12)*Pressupostos!K$14),(Pressupostos!$G216-SUM('6. Investimento'!$F53:I53))),0))</f>
        <v>0</v>
      </c>
      <c r="K53" s="74">
        <f>+IF(Pressupostos!L$14=0,0,IF(Pressupostos!$G216&gt;SUM('6. Investimento'!$F53:J53),MIN(((Pressupostos!$G216/Pressupostos!$E216/12)*Pressupostos!L$14),(Pressupostos!$G216-SUM('6. Investimento'!$F53:J53))),0))</f>
        <v>0</v>
      </c>
      <c r="L53" s="67"/>
    </row>
    <row r="54" spans="2:12" ht="17.25" customHeight="1" x14ac:dyDescent="0.2">
      <c r="B54" s="34"/>
      <c r="C54" s="340" t="s">
        <v>361</v>
      </c>
      <c r="D54" s="341">
        <v>2</v>
      </c>
      <c r="E54" s="341"/>
      <c r="F54" s="74"/>
      <c r="G54" s="74">
        <f>+IF(Pressupostos!H$14=0,0,IF(Pressupostos!$H$216&gt;SUM('6. Investimento'!F54:$F54),MIN(((Pressupostos!$H$216/Pressupostos!$E$216/12)*Pressupostos!H$14),(Pressupostos!$H$216-SUM('6. Investimento'!F54:$F54))),0))</f>
        <v>0</v>
      </c>
      <c r="H54" s="74">
        <f>+IF(Pressupostos!I$14=0,0,IF(Pressupostos!$H$216&gt;SUM('6. Investimento'!$F54:G54),MIN(((Pressupostos!$H$216/Pressupostos!$E$216/12)*Pressupostos!I$14),(Pressupostos!$H$216-SUM('6. Investimento'!$F54:G54))),0))</f>
        <v>0</v>
      </c>
      <c r="I54" s="74">
        <f>+IF(Pressupostos!J$14=0,0,IF(Pressupostos!$H$216&gt;SUM('6. Investimento'!$F54:H54),MIN(((Pressupostos!$H$216/Pressupostos!$E$216/12)*Pressupostos!J$14),(Pressupostos!$H$216-SUM('6. Investimento'!$F54:H54))),0))</f>
        <v>0</v>
      </c>
      <c r="J54" s="74">
        <f>+IF(Pressupostos!K$14=0,0,IF(Pressupostos!$H$216&gt;SUM('6. Investimento'!$F54:I54),MIN(((Pressupostos!$H$216/Pressupostos!$E$216/12)*Pressupostos!K$14),(Pressupostos!$H$216-SUM('6. Investimento'!$F54:I54))),0))</f>
        <v>0</v>
      </c>
      <c r="K54" s="74">
        <f>+IF(Pressupostos!L$14=0,0,IF(Pressupostos!$H$216&gt;SUM('6. Investimento'!$F54:J54),MIN(((Pressupostos!$H$216/Pressupostos!$E$216/12)*Pressupostos!L$14),(Pressupostos!$H$216-SUM('6. Investimento'!$F54:J54))),0))</f>
        <v>0</v>
      </c>
      <c r="L54" s="67"/>
    </row>
    <row r="55" spans="2:12" ht="17.25" customHeight="1" x14ac:dyDescent="0.2">
      <c r="B55" s="34"/>
      <c r="C55" s="340" t="s">
        <v>361</v>
      </c>
      <c r="D55" s="341">
        <v>2</v>
      </c>
      <c r="E55" s="341"/>
      <c r="F55" s="74"/>
      <c r="G55" s="74"/>
      <c r="H55" s="74">
        <f>+IF(Pressupostos!I$14=0,0,IF(Pressupostos!$I$216&gt;SUM('6. Investimento'!$F55:G55),MIN(((Pressupostos!$I$216/Pressupostos!$E$216/12)*Pressupostos!I$14),(Pressupostos!$I$216-SUM('6. Investimento'!$F55:G55))),0))</f>
        <v>0</v>
      </c>
      <c r="I55" s="74">
        <f>+IF(Pressupostos!J$14=0,0,IF(Pressupostos!$I$216&gt;SUM('6. Investimento'!$F55:H55),MIN(((Pressupostos!$I$216/Pressupostos!$E$216/12)*Pressupostos!J$14),(Pressupostos!$I$216-SUM('6. Investimento'!$F55:H55))),0))</f>
        <v>0</v>
      </c>
      <c r="J55" s="74">
        <f>+IF(Pressupostos!K$14=0,0,IF(Pressupostos!$I$216&gt;SUM('6. Investimento'!$F55:I55),MIN(((Pressupostos!$I$216/Pressupostos!$E$216/12)*Pressupostos!K$14),(Pressupostos!$I$216-SUM('6. Investimento'!$F55:I55))),0))</f>
        <v>0</v>
      </c>
      <c r="K55" s="74">
        <f>+IF(Pressupostos!L$14=0,0,IF(Pressupostos!$I$216&gt;SUM('6. Investimento'!$F55:J55),MIN(((Pressupostos!$I$216/Pressupostos!$E$216/12)*Pressupostos!L$14),(Pressupostos!$I$216-SUM('6. Investimento'!$F55:J55))),0))</f>
        <v>0</v>
      </c>
      <c r="L55" s="67"/>
    </row>
    <row r="56" spans="2:12" ht="17.25" customHeight="1" x14ac:dyDescent="0.2">
      <c r="B56" s="34"/>
      <c r="C56" s="340" t="s">
        <v>361</v>
      </c>
      <c r="D56" s="341">
        <v>2</v>
      </c>
      <c r="E56" s="341"/>
      <c r="F56" s="74"/>
      <c r="G56" s="74"/>
      <c r="H56" s="74"/>
      <c r="I56" s="74">
        <f>+IF(Pressupostos!J$14=0,0,IF(Pressupostos!$J$216&gt;SUM('6. Investimento'!$F56:H56),MIN(((Pressupostos!$J$216/Pressupostos!$E$216/12)*Pressupostos!J$14),(Pressupostos!$J$216-SUM('6. Investimento'!$F56:H56))),0))</f>
        <v>0</v>
      </c>
      <c r="J56" s="74">
        <f>+IF(Pressupostos!K$14=0,0,IF(Pressupostos!$J$216&gt;SUM('6. Investimento'!$F56:I56),MIN(((Pressupostos!$J$216/Pressupostos!$E$216/12)*Pressupostos!K$14),(Pressupostos!$J$216-SUM('6. Investimento'!$F56:I56))),0))</f>
        <v>0</v>
      </c>
      <c r="K56" s="74">
        <f>+IF(Pressupostos!L$14=0,0,IF(Pressupostos!$J$216&gt;SUM('6. Investimento'!$F56:J56),MIN(((Pressupostos!$J$216/Pressupostos!$E$216/12)*Pressupostos!L$14),(Pressupostos!$J$216-SUM('6. Investimento'!$F56:J56))),0))</f>
        <v>0</v>
      </c>
      <c r="L56" s="67"/>
    </row>
    <row r="57" spans="2:12" ht="17.25" customHeight="1" x14ac:dyDescent="0.2">
      <c r="B57" s="34"/>
      <c r="C57" s="340" t="s">
        <v>361</v>
      </c>
      <c r="D57" s="341">
        <v>2</v>
      </c>
      <c r="E57" s="341"/>
      <c r="F57" s="74"/>
      <c r="G57" s="74"/>
      <c r="H57" s="74"/>
      <c r="I57" s="74"/>
      <c r="J57" s="74">
        <f>+IF(Pressupostos!K$14=0,0,IF(Pressupostos!$K$216&gt;SUM('6. Investimento'!$F57:I57),MIN(((Pressupostos!$K$216/Pressupostos!$E$216/12)*Pressupostos!K$14),(Pressupostos!$K$216-SUM('6. Investimento'!$F57:I57))),0))</f>
        <v>0</v>
      </c>
      <c r="K57" s="74">
        <f>+IF(Pressupostos!L$14=0,0,IF(Pressupostos!$K$216&gt;SUM('6. Investimento'!$F57:J57),MIN(((Pressupostos!$K$216/Pressupostos!$E$216/12)*Pressupostos!L$14),(Pressupostos!$K$216-SUM('6. Investimento'!$F57:J57))),0))</f>
        <v>0</v>
      </c>
      <c r="L57" s="67"/>
    </row>
    <row r="58" spans="2:12" ht="17.25" customHeight="1" x14ac:dyDescent="0.2">
      <c r="B58" s="34"/>
      <c r="C58" s="340" t="s">
        <v>362</v>
      </c>
      <c r="D58" s="341">
        <v>2</v>
      </c>
      <c r="E58" s="341"/>
      <c r="F58" s="74"/>
      <c r="G58" s="74"/>
      <c r="H58" s="74"/>
      <c r="I58" s="74"/>
      <c r="J58" s="74"/>
      <c r="K58" s="74">
        <f>+IF(Pressupostos!L$14=0,0,IF(Pressupostos!$K$217&gt;SUM('6. Investimento'!$F58:J58),MIN(((Pressupostos!$K$217/Pressupostos!$E$217/12)*Pressupostos!L$14),(Pressupostos!$K$217-SUM('6. Investimento'!$F58:J58))),0))</f>
        <v>0</v>
      </c>
      <c r="L58" s="67"/>
    </row>
    <row r="59" spans="2:12" s="70" customFormat="1" ht="17.25" customHeight="1" x14ac:dyDescent="0.2">
      <c r="B59" s="119" t="s">
        <v>1</v>
      </c>
      <c r="C59" s="337" t="s">
        <v>38</v>
      </c>
      <c r="D59" s="338"/>
      <c r="E59" s="338"/>
      <c r="F59" s="339">
        <f t="shared" ref="F59:K59" si="11">SUBTOTAL(9,F60:F65)</f>
        <v>0</v>
      </c>
      <c r="G59" s="339">
        <f t="shared" si="11"/>
        <v>0</v>
      </c>
      <c r="H59" s="339">
        <f t="shared" si="11"/>
        <v>0</v>
      </c>
      <c r="I59" s="339">
        <f t="shared" si="11"/>
        <v>0</v>
      </c>
      <c r="J59" s="339">
        <f t="shared" si="11"/>
        <v>0</v>
      </c>
      <c r="K59" s="339">
        <f t="shared" si="11"/>
        <v>0</v>
      </c>
      <c r="L59" s="120"/>
    </row>
    <row r="60" spans="2:12" ht="17.25" customHeight="1" x14ac:dyDescent="0.2">
      <c r="B60" s="34"/>
      <c r="C60" s="340" t="s">
        <v>38</v>
      </c>
      <c r="D60" s="341">
        <v>3</v>
      </c>
      <c r="E60" s="341"/>
      <c r="F60" s="74">
        <f>+IF(Pressupostos!G$14=0,0,IF(Pressupostos!$G217&gt;SUM('6. Investimento'!E60:$E60),MIN(((Pressupostos!$G217/Pressupostos!$E217/12)*Pressupostos!G$14),(Pressupostos!$G217-SUM('6. Investimento'!E60:$E60))),0))</f>
        <v>0</v>
      </c>
      <c r="G60" s="74">
        <f>+IF(Pressupostos!H$14=0,0,IF(Pressupostos!$G217&gt;SUM('6. Investimento'!F60:$F60),MIN(((Pressupostos!$G217/Pressupostos!$E217/12)*Pressupostos!H$14),(Pressupostos!$G217-SUM('6. Investimento'!F60:$F60))),0))</f>
        <v>0</v>
      </c>
      <c r="H60" s="74">
        <f>+IF(Pressupostos!I$14=0,0,IF(Pressupostos!$G217&gt;SUM('6. Investimento'!$F60:G60),MIN(((Pressupostos!$G217/Pressupostos!$E217/12)*Pressupostos!I$14),(Pressupostos!$G217-SUM('6. Investimento'!$F60:G60))),0))</f>
        <v>0</v>
      </c>
      <c r="I60" s="74">
        <f>+IF(Pressupostos!J$14=0,0,IF(Pressupostos!$G217&gt;SUM('6. Investimento'!$F60:H60),MIN(((Pressupostos!$G217/Pressupostos!$E217/12)*Pressupostos!J$14),(Pressupostos!$G217-SUM('6. Investimento'!$F60:H60))),0))</f>
        <v>0</v>
      </c>
      <c r="J60" s="74">
        <f>+IF(Pressupostos!K$14=0,0,IF(Pressupostos!$G217&gt;SUM('6. Investimento'!$F60:I60),MIN(((Pressupostos!$G217/Pressupostos!$E217/12)*Pressupostos!K$14),(Pressupostos!$G217-SUM('6. Investimento'!$F60:I60))),0))</f>
        <v>0</v>
      </c>
      <c r="K60" s="74">
        <f>+IF(Pressupostos!L$14=0,0,IF(Pressupostos!$G217&gt;SUM('6. Investimento'!$F60:J60),MIN(((Pressupostos!$G217/Pressupostos!$E217/12)*Pressupostos!L$14),(Pressupostos!$G217-SUM('6. Investimento'!$F60:J60))),0))</f>
        <v>0</v>
      </c>
      <c r="L60" s="67"/>
    </row>
    <row r="61" spans="2:12" ht="17.25" customHeight="1" x14ac:dyDescent="0.2">
      <c r="B61" s="34"/>
      <c r="C61" s="340" t="s">
        <v>38</v>
      </c>
      <c r="D61" s="341">
        <v>3</v>
      </c>
      <c r="E61" s="341"/>
      <c r="F61" s="74"/>
      <c r="G61" s="74">
        <f>+IF(Pressupostos!H$14=0,0,IF(Pressupostos!$H$217&gt;SUM('6. Investimento'!F61:$F61),MIN(((Pressupostos!$H$217/Pressupostos!$E$217/12)*Pressupostos!H$14),(Pressupostos!$H$217-SUM('6. Investimento'!F61:$F61))),0))</f>
        <v>0</v>
      </c>
      <c r="H61" s="74">
        <f>+IF(Pressupostos!I$14=0,0,IF(Pressupostos!$H$217&gt;SUM('6. Investimento'!$F61:G61),MIN(((Pressupostos!$H$217/Pressupostos!$E$217/12)*Pressupostos!I$14),(Pressupostos!$H$217-SUM('6. Investimento'!$F61:G61))),0))</f>
        <v>0</v>
      </c>
      <c r="I61" s="74">
        <f>+IF(Pressupostos!J$14=0,0,IF(Pressupostos!$H$217&gt;SUM('6. Investimento'!$F61:H61),MIN(((Pressupostos!$H$217/Pressupostos!$E$217/12)*Pressupostos!J$14),(Pressupostos!$H$217-SUM('6. Investimento'!$F61:H61))),0))</f>
        <v>0</v>
      </c>
      <c r="J61" s="74">
        <f>+IF(Pressupostos!K$14=0,0,IF(Pressupostos!$H$217&gt;SUM('6. Investimento'!$F61:I61),MIN(((Pressupostos!$H$217/Pressupostos!$E$217/12)*Pressupostos!K$14),(Pressupostos!$H$217-SUM('6. Investimento'!$F61:I61))),0))</f>
        <v>0</v>
      </c>
      <c r="K61" s="74">
        <f>+IF(Pressupostos!L$14=0,0,IF(Pressupostos!$H$217&gt;SUM('6. Investimento'!$F61:J61),MIN(((Pressupostos!$H$217/Pressupostos!$E$217/12)*Pressupostos!L$14),(Pressupostos!$H$217-SUM('6. Investimento'!$F61:J61))),0))</f>
        <v>0</v>
      </c>
      <c r="L61" s="67"/>
    </row>
    <row r="62" spans="2:12" ht="17.25" customHeight="1" x14ac:dyDescent="0.2">
      <c r="B62" s="34"/>
      <c r="C62" s="340" t="s">
        <v>38</v>
      </c>
      <c r="D62" s="341">
        <v>3</v>
      </c>
      <c r="E62" s="341"/>
      <c r="F62" s="74"/>
      <c r="G62" s="74"/>
      <c r="H62" s="74">
        <f>+IF(Pressupostos!I$14=0,0,IF(Pressupostos!$I$217&gt;SUM('6. Investimento'!$F62:G62),MIN(((Pressupostos!$I$217/Pressupostos!$E$217/12)*Pressupostos!I$14),(Pressupostos!$I$217-SUM('6. Investimento'!$F62:G62))),0))</f>
        <v>0</v>
      </c>
      <c r="I62" s="74">
        <f>+IF(Pressupostos!J$14=0,0,IF(Pressupostos!$I$217&gt;SUM('6. Investimento'!$F62:H62),MIN(((Pressupostos!$I$217/Pressupostos!$E$217/12)*Pressupostos!J$14),(Pressupostos!$I$217-SUM('6. Investimento'!$F62:H62))),0))</f>
        <v>0</v>
      </c>
      <c r="J62" s="74">
        <f>+IF(Pressupostos!K$14=0,0,IF(Pressupostos!$I$217&gt;SUM('6. Investimento'!$F62:I62),MIN(((Pressupostos!$I$217/Pressupostos!$E$217/12)*Pressupostos!K$14),(Pressupostos!$I$217-SUM('6. Investimento'!$F62:I62))),0))</f>
        <v>0</v>
      </c>
      <c r="K62" s="74">
        <f>+IF(Pressupostos!L$14=0,0,IF(Pressupostos!$I$217&gt;SUM('6. Investimento'!$F62:J62),MIN(((Pressupostos!$I$217/Pressupostos!$E$217/12)*Pressupostos!L$14),(Pressupostos!$I$217-SUM('6. Investimento'!$F62:J62))),0))</f>
        <v>0</v>
      </c>
      <c r="L62" s="67"/>
    </row>
    <row r="63" spans="2:12" ht="17.25" customHeight="1" x14ac:dyDescent="0.2">
      <c r="B63" s="34"/>
      <c r="C63" s="340" t="s">
        <v>38</v>
      </c>
      <c r="D63" s="341">
        <v>3</v>
      </c>
      <c r="E63" s="341"/>
      <c r="F63" s="74"/>
      <c r="G63" s="74"/>
      <c r="H63" s="74"/>
      <c r="I63" s="74">
        <f>+IF(Pressupostos!J$14=0,0,IF(Pressupostos!$J$217&gt;SUM('6. Investimento'!$F63:H63),MIN(((Pressupostos!$J$217/Pressupostos!$E$217/12)*Pressupostos!J$14),(Pressupostos!$J$217-SUM('6. Investimento'!$F63:H63))),0))</f>
        <v>0</v>
      </c>
      <c r="J63" s="74">
        <f>+IF(Pressupostos!K$14=0,0,IF(Pressupostos!$J$217&gt;SUM('6. Investimento'!$F63:I63),MIN(((Pressupostos!$J$217/Pressupostos!$E$217/12)*Pressupostos!K$14),(Pressupostos!$J$217-SUM('6. Investimento'!$F63:I63))),0))</f>
        <v>0</v>
      </c>
      <c r="K63" s="74">
        <f>+IF(Pressupostos!L$14=0,0,IF(Pressupostos!$J$217&gt;SUM('6. Investimento'!$F63:J63),MIN(((Pressupostos!$J$217/Pressupostos!$E$217/12)*Pressupostos!L$14),(Pressupostos!$J$217-SUM('6. Investimento'!$F63:J63))),0))</f>
        <v>0</v>
      </c>
      <c r="L63" s="67"/>
    </row>
    <row r="64" spans="2:12" ht="17.25" customHeight="1" x14ac:dyDescent="0.2">
      <c r="B64" s="34"/>
      <c r="C64" s="340" t="s">
        <v>38</v>
      </c>
      <c r="D64" s="341">
        <v>3</v>
      </c>
      <c r="E64" s="341"/>
      <c r="F64" s="74"/>
      <c r="G64" s="74"/>
      <c r="H64" s="74"/>
      <c r="I64" s="74"/>
      <c r="J64" s="74">
        <f>+IF(Pressupostos!K$14=0,0,IF(Pressupostos!$K$217&gt;SUM('6. Investimento'!$F64:I64),MIN(((Pressupostos!$K$217/Pressupostos!$E$217/12)*Pressupostos!K$14),(Pressupostos!$K$217-SUM('6. Investimento'!$F64:I64))),0))</f>
        <v>0</v>
      </c>
      <c r="K64" s="74">
        <f>+IF(Pressupostos!L$14=0,0,IF(Pressupostos!$K$217&gt;SUM('6. Investimento'!$F64:J64),MIN(((Pressupostos!$K$217/Pressupostos!$E$217/12)*Pressupostos!L$14),(Pressupostos!$K$217-SUM('6. Investimento'!$F64:J64))),0))</f>
        <v>0</v>
      </c>
      <c r="L64" s="67"/>
    </row>
    <row r="65" spans="2:12" ht="17.25" customHeight="1" x14ac:dyDescent="0.2">
      <c r="B65" s="34"/>
      <c r="C65" s="340" t="s">
        <v>38</v>
      </c>
      <c r="D65" s="341">
        <v>3</v>
      </c>
      <c r="E65" s="341"/>
      <c r="F65" s="74"/>
      <c r="G65" s="74"/>
      <c r="H65" s="74"/>
      <c r="I65" s="74"/>
      <c r="J65" s="74"/>
      <c r="K65" s="74">
        <f>+IF(Pressupostos!L$14=0,0,IF(Pressupostos!$K$217&gt;SUM('6. Investimento'!$F65:J65),MIN(((Pressupostos!$K$217/Pressupostos!$E$217/12)*Pressupostos!L$14),(Pressupostos!$K$217-SUM('6. Investimento'!$F65:J65))),0))</f>
        <v>0</v>
      </c>
      <c r="L65" s="67"/>
    </row>
    <row r="66" spans="2:12" s="70" customFormat="1" ht="17.25" customHeight="1" x14ac:dyDescent="0.2">
      <c r="B66" s="119" t="s">
        <v>1</v>
      </c>
      <c r="C66" s="337" t="s">
        <v>40</v>
      </c>
      <c r="D66" s="338"/>
      <c r="E66" s="338"/>
      <c r="F66" s="339">
        <f t="shared" ref="F66:K66" si="12">SUBTOTAL(9,F67:F72)</f>
        <v>0</v>
      </c>
      <c r="G66" s="339">
        <f t="shared" si="12"/>
        <v>0</v>
      </c>
      <c r="H66" s="339">
        <f t="shared" si="12"/>
        <v>0</v>
      </c>
      <c r="I66" s="339">
        <f t="shared" si="12"/>
        <v>0</v>
      </c>
      <c r="J66" s="339">
        <f t="shared" si="12"/>
        <v>0</v>
      </c>
      <c r="K66" s="339">
        <f t="shared" si="12"/>
        <v>0</v>
      </c>
      <c r="L66" s="120"/>
    </row>
    <row r="67" spans="2:12" ht="17.25" customHeight="1" x14ac:dyDescent="0.2">
      <c r="B67" s="34"/>
      <c r="C67" s="340" t="s">
        <v>40</v>
      </c>
      <c r="D67" s="341">
        <v>4</v>
      </c>
      <c r="E67" s="341"/>
      <c r="F67" s="74">
        <f>+IF(Pressupostos!G$14=0,0,IF(Pressupostos!$G218&gt;SUM('6. Investimento'!E67:$E67),MIN(((Pressupostos!$G218/Pressupostos!$E218/12)*Pressupostos!G$14),(Pressupostos!$G218-SUM('6. Investimento'!E67:$E67))),0))</f>
        <v>0</v>
      </c>
      <c r="G67" s="74">
        <f>+IF(Pressupostos!H$14=0,0,IF(Pressupostos!$G218&gt;SUM('6. Investimento'!F67:$F67),MIN(((Pressupostos!$G218/Pressupostos!$E218/12)*Pressupostos!H$14),(Pressupostos!$G218-SUM('6. Investimento'!F67:$F67))),0))</f>
        <v>0</v>
      </c>
      <c r="H67" s="74">
        <f>+IF(Pressupostos!I$14=0,0,IF(Pressupostos!$G218&gt;SUM('6. Investimento'!$F67:G67),MIN(((Pressupostos!$G218/Pressupostos!$E218/12)*Pressupostos!I$14),(Pressupostos!$G218-SUM('6. Investimento'!$F67:G67))),0))</f>
        <v>0</v>
      </c>
      <c r="I67" s="74">
        <f>+IF(Pressupostos!J$14=0,0,IF(Pressupostos!$G218&gt;SUM('6. Investimento'!$F67:H67),MIN(((Pressupostos!$G218/Pressupostos!$E218/12)*Pressupostos!J$14),(Pressupostos!$G218-SUM('6. Investimento'!$F67:H67))),0))</f>
        <v>0</v>
      </c>
      <c r="J67" s="74">
        <f>+IF(Pressupostos!K$14=0,0,IF(Pressupostos!$G218&gt;SUM('6. Investimento'!$F67:I67),MIN(((Pressupostos!$G218/Pressupostos!$E218/12)*Pressupostos!K$14),(Pressupostos!$G218-SUM('6. Investimento'!$F67:I67))),0))</f>
        <v>0</v>
      </c>
      <c r="K67" s="74">
        <f>+IF(Pressupostos!L$14=0,0,IF(Pressupostos!$G218&gt;SUM('6. Investimento'!$F67:J67),MIN(((Pressupostos!$G218/Pressupostos!$E218/12)*Pressupostos!L$14),(Pressupostos!$G218-SUM('6. Investimento'!$F67:J67))),0))</f>
        <v>0</v>
      </c>
      <c r="L67" s="67"/>
    </row>
    <row r="68" spans="2:12" ht="17.25" customHeight="1" x14ac:dyDescent="0.2">
      <c r="B68" s="34"/>
      <c r="C68" s="340" t="s">
        <v>40</v>
      </c>
      <c r="D68" s="341">
        <v>4</v>
      </c>
      <c r="E68" s="341"/>
      <c r="F68" s="74"/>
      <c r="G68" s="74">
        <f>+IF(Pressupostos!H$14=0,0,IF(Pressupostos!$H$218&gt;SUM('6. Investimento'!F68:$F68),MIN(((Pressupostos!$H$218/Pressupostos!$E$218/12)*Pressupostos!H$14),(Pressupostos!$H$218-SUM('6. Investimento'!F68:$F68))),0))</f>
        <v>0</v>
      </c>
      <c r="H68" s="74">
        <f>+IF(Pressupostos!I$14=0,0,IF(Pressupostos!$H$218&gt;SUM('6. Investimento'!$F68:G68),MIN(((Pressupostos!$H$218/Pressupostos!$E$218/12)*Pressupostos!I$14),(Pressupostos!$H$218-SUM('6. Investimento'!$F68:G68))),0))</f>
        <v>0</v>
      </c>
      <c r="I68" s="74">
        <f>+IF(Pressupostos!J$14=0,0,IF(Pressupostos!$H$218&gt;SUM('6. Investimento'!$F68:H68),MIN(((Pressupostos!$H$218/Pressupostos!$E$218/12)*Pressupostos!J$14),(Pressupostos!$H$218-SUM('6. Investimento'!$F68:H68))),0))</f>
        <v>0</v>
      </c>
      <c r="J68" s="74">
        <f>+IF(Pressupostos!K$14=0,0,IF(Pressupostos!$H$218&gt;SUM('6. Investimento'!$F68:I68),MIN(((Pressupostos!$H$218/Pressupostos!$E$218/12)*Pressupostos!K$14),(Pressupostos!$H$218-SUM('6. Investimento'!$F68:I68))),0))</f>
        <v>0</v>
      </c>
      <c r="K68" s="74">
        <f>+IF(Pressupostos!L$14=0,0,IF(Pressupostos!$H$218&gt;SUM('6. Investimento'!$F68:J68),MIN(((Pressupostos!$H$218/Pressupostos!$E$218/12)*Pressupostos!L$14),(Pressupostos!$H$218-SUM('6. Investimento'!$F68:J68))),0))</f>
        <v>0</v>
      </c>
      <c r="L68" s="67"/>
    </row>
    <row r="69" spans="2:12" ht="17.25" customHeight="1" x14ac:dyDescent="0.2">
      <c r="B69" s="34"/>
      <c r="C69" s="340" t="s">
        <v>40</v>
      </c>
      <c r="D69" s="341">
        <v>4</v>
      </c>
      <c r="E69" s="341"/>
      <c r="F69" s="74"/>
      <c r="G69" s="74"/>
      <c r="H69" s="74">
        <f>+IF(Pressupostos!I$14=0,0,IF(Pressupostos!$I$218&gt;SUM('6. Investimento'!$F69:G69),MIN(((Pressupostos!$I$218/Pressupostos!$E$218/12)*Pressupostos!I$14),(Pressupostos!$I$218-SUM('6. Investimento'!$F69:G69))),0))</f>
        <v>0</v>
      </c>
      <c r="I69" s="74">
        <f>+IF(Pressupostos!J$14=0,0,IF(Pressupostos!$I$218&gt;SUM('6. Investimento'!$F69:H69),MIN(((Pressupostos!$I$218/Pressupostos!$E$218/12)*Pressupostos!J$14),(Pressupostos!$I$218-SUM('6. Investimento'!$F69:H69))),0))</f>
        <v>0</v>
      </c>
      <c r="J69" s="74">
        <f>+IF(Pressupostos!K$14=0,0,IF(Pressupostos!$I$218&gt;SUM('6. Investimento'!$F69:I69),MIN(((Pressupostos!$I$218/Pressupostos!$E$218/12)*Pressupostos!K$14),(Pressupostos!$I$218-SUM('6. Investimento'!$F69:I69))),0))</f>
        <v>0</v>
      </c>
      <c r="K69" s="74">
        <f>+IF(Pressupostos!L$14=0,0,IF(Pressupostos!$I$218&gt;SUM('6. Investimento'!$F69:J69),MIN(((Pressupostos!$I$218/Pressupostos!$E$218/12)*Pressupostos!L$14),(Pressupostos!$I$218-SUM('6. Investimento'!$F69:J69))),0))</f>
        <v>0</v>
      </c>
      <c r="L69" s="67"/>
    </row>
    <row r="70" spans="2:12" ht="17.25" customHeight="1" x14ac:dyDescent="0.2">
      <c r="B70" s="34"/>
      <c r="C70" s="340" t="s">
        <v>40</v>
      </c>
      <c r="D70" s="341">
        <v>4</v>
      </c>
      <c r="E70" s="341"/>
      <c r="F70" s="74"/>
      <c r="G70" s="74"/>
      <c r="H70" s="74"/>
      <c r="I70" s="74">
        <f>+IF(Pressupostos!J$14=0,0,IF(Pressupostos!$J$218&gt;SUM('6. Investimento'!$F70:H70),MIN(((Pressupostos!$J$218/Pressupostos!$E$218/12)*Pressupostos!J$14),(Pressupostos!$J$218-SUM('6. Investimento'!$F70:H70))),0))</f>
        <v>0</v>
      </c>
      <c r="J70" s="74">
        <f>+IF(Pressupostos!K$14=0,0,IF(Pressupostos!$J$218&gt;SUM('6. Investimento'!$F70:I70),MIN(((Pressupostos!$J$218/Pressupostos!$E$218/12)*Pressupostos!K$14),(Pressupostos!$J$218-SUM('6. Investimento'!$F70:I70))),0))</f>
        <v>0</v>
      </c>
      <c r="K70" s="74">
        <f>+IF(Pressupostos!L$14=0,0,IF(Pressupostos!$J$218&gt;SUM('6. Investimento'!$F70:J70),MIN(((Pressupostos!$J$218/Pressupostos!$E$218/12)*Pressupostos!L$14),(Pressupostos!$J$218-SUM('6. Investimento'!$F70:J70))),0))</f>
        <v>0</v>
      </c>
      <c r="L70" s="67"/>
    </row>
    <row r="71" spans="2:12" ht="17.25" customHeight="1" x14ac:dyDescent="0.2">
      <c r="B71" s="34"/>
      <c r="C71" s="340" t="s">
        <v>40</v>
      </c>
      <c r="D71" s="341">
        <v>4</v>
      </c>
      <c r="E71" s="341"/>
      <c r="F71" s="74"/>
      <c r="G71" s="74"/>
      <c r="H71" s="74"/>
      <c r="I71" s="74"/>
      <c r="J71" s="74">
        <f>+IF(Pressupostos!K$14=0,0,IF(Pressupostos!$K$218&gt;SUM('6. Investimento'!$F71:I71),MIN(((Pressupostos!$K$218/Pressupostos!$E$218/12)*Pressupostos!K$14),(Pressupostos!$K$218-SUM('6. Investimento'!$F71:I71))),0))</f>
        <v>0</v>
      </c>
      <c r="K71" s="74">
        <f>+IF(Pressupostos!L$14=0,0,IF(Pressupostos!$K$218&gt;SUM('6. Investimento'!$F71:J71),MIN(((Pressupostos!$K$218/Pressupostos!$E$218/12)*Pressupostos!L$14),(Pressupostos!$K$218-SUM('6. Investimento'!$F71:J71))),0))</f>
        <v>0</v>
      </c>
      <c r="L71" s="67"/>
    </row>
    <row r="72" spans="2:12" ht="17.25" customHeight="1" x14ac:dyDescent="0.2">
      <c r="B72" s="34"/>
      <c r="C72" s="340" t="s">
        <v>40</v>
      </c>
      <c r="D72" s="341">
        <v>4</v>
      </c>
      <c r="E72" s="341"/>
      <c r="F72" s="74"/>
      <c r="G72" s="74"/>
      <c r="H72" s="74"/>
      <c r="I72" s="74"/>
      <c r="J72" s="74"/>
      <c r="K72" s="74">
        <f>+IF(Pressupostos!L$14=0,0,IF(Pressupostos!$I$218&gt;SUM('6. Investimento'!$F72:J72),MIN(((Pressupostos!#REF!/Pressupostos!$E$218/12)*Pressupostos!L$14),(Pressupostos!#REF!-SUM('6. Investimento'!$F72:J72))),0))</f>
        <v>0</v>
      </c>
      <c r="L72" s="67"/>
    </row>
    <row r="73" spans="2:12" s="70" customFormat="1" ht="17.25" customHeight="1" x14ac:dyDescent="0.2">
      <c r="B73" s="119" t="s">
        <v>1</v>
      </c>
      <c r="C73" s="337" t="s">
        <v>39</v>
      </c>
      <c r="D73" s="338"/>
      <c r="E73" s="338"/>
      <c r="F73" s="339">
        <f t="shared" ref="F73:K73" si="13">SUBTOTAL(9,F74:F79)</f>
        <v>0</v>
      </c>
      <c r="G73" s="339">
        <f t="shared" si="13"/>
        <v>0</v>
      </c>
      <c r="H73" s="339">
        <f t="shared" si="13"/>
        <v>0</v>
      </c>
      <c r="I73" s="339">
        <f t="shared" si="13"/>
        <v>0</v>
      </c>
      <c r="J73" s="339">
        <f t="shared" si="13"/>
        <v>0</v>
      </c>
      <c r="K73" s="339">
        <f t="shared" si="13"/>
        <v>0</v>
      </c>
      <c r="L73" s="120"/>
    </row>
    <row r="74" spans="2:12" ht="17.25" customHeight="1" x14ac:dyDescent="0.2">
      <c r="B74" s="34"/>
      <c r="C74" s="340" t="s">
        <v>39</v>
      </c>
      <c r="D74" s="341">
        <v>5</v>
      </c>
      <c r="E74" s="341"/>
      <c r="F74" s="74">
        <f>+IF(Pressupostos!G$14=0,0,IF(Pressupostos!$G219&gt;SUM('6. Investimento'!E74:$E74),MIN(((Pressupostos!$G219/Pressupostos!$E219/12)*Pressupostos!G$14),(Pressupostos!$G219-SUM('6. Investimento'!E74:$E74))),0))</f>
        <v>0</v>
      </c>
      <c r="G74" s="74">
        <f>+IF(Pressupostos!H$14=0,0,IF(Pressupostos!$G219&gt;SUM('6. Investimento'!F74:$F74),MIN(((Pressupostos!$G219/Pressupostos!$E219/12)*Pressupostos!H$14),(Pressupostos!$G219-SUM('6. Investimento'!F74:$F74))),0))</f>
        <v>0</v>
      </c>
      <c r="H74" s="74">
        <f>+IF(Pressupostos!I$14=0,0,IF(Pressupostos!$G219&gt;SUM('6. Investimento'!$F74:G74),MIN(((Pressupostos!$G219/Pressupostos!$E219/12)*Pressupostos!I$14),(Pressupostos!$G219-SUM('6. Investimento'!$F74:G74))),0))</f>
        <v>0</v>
      </c>
      <c r="I74" s="74">
        <f>+IF(Pressupostos!J$14=0,0,IF(Pressupostos!$G219&gt;SUM('6. Investimento'!$F74:H74),MIN(((Pressupostos!$G219/Pressupostos!$E219/12)*Pressupostos!J$14),(Pressupostos!$G219-SUM('6. Investimento'!$F74:H74))),0))</f>
        <v>0</v>
      </c>
      <c r="J74" s="74">
        <f>+IF(Pressupostos!K$14=0,0,IF(Pressupostos!$G219&gt;SUM('6. Investimento'!$F74:I74),MIN(((Pressupostos!$G219/Pressupostos!$E219/12)*Pressupostos!K$14),(Pressupostos!$G219-SUM('6. Investimento'!$F74:I74))),0))</f>
        <v>0</v>
      </c>
      <c r="K74" s="74">
        <f>+IF(Pressupostos!L$14=0,0,IF(Pressupostos!$G219&gt;SUM('6. Investimento'!$F74:J74),MIN(((Pressupostos!$G219/Pressupostos!$E219/12)*Pressupostos!L$14),(Pressupostos!$G219-SUM('6. Investimento'!$F74:J74))),0))</f>
        <v>0</v>
      </c>
      <c r="L74" s="67"/>
    </row>
    <row r="75" spans="2:12" ht="17.25" customHeight="1" x14ac:dyDescent="0.2">
      <c r="B75" s="34"/>
      <c r="C75" s="340" t="s">
        <v>39</v>
      </c>
      <c r="D75" s="341">
        <v>5</v>
      </c>
      <c r="E75" s="341"/>
      <c r="F75" s="74"/>
      <c r="G75" s="74">
        <f>+IF(Pressupostos!H$14=0,0,IF(Pressupostos!$H$219&gt;SUM('6. Investimento'!F75:$F75),MIN(((Pressupostos!$H$219/Pressupostos!$E$219/12)*Pressupostos!H$14),(Pressupostos!$H$219-SUM('6. Investimento'!F75:$F75))),0))</f>
        <v>0</v>
      </c>
      <c r="H75" s="74">
        <f>+IF(Pressupostos!I$14=0,0,IF(Pressupostos!$H$219&gt;SUM('6. Investimento'!$F75:G75),MIN(((Pressupostos!$H$219/Pressupostos!$E$219/12)*Pressupostos!I$14),(Pressupostos!$H$219-SUM('6. Investimento'!$F75:G75))),0))</f>
        <v>0</v>
      </c>
      <c r="I75" s="74">
        <f>+IF(Pressupostos!J$14=0,0,IF(Pressupostos!$H$219&gt;SUM('6. Investimento'!$F75:H75),MIN(((Pressupostos!$H$219/Pressupostos!$E$219/12)*Pressupostos!J$14),(Pressupostos!$H$219-SUM('6. Investimento'!$F75:H75))),0))</f>
        <v>0</v>
      </c>
      <c r="J75" s="74">
        <f>+IF(Pressupostos!K$14=0,0,IF(Pressupostos!$H$219&gt;SUM('6. Investimento'!$F75:I75),MIN(((Pressupostos!$H$219/Pressupostos!$E$219/12)*Pressupostos!K$14),(Pressupostos!$H$219-SUM('6. Investimento'!$F75:I75))),0))</f>
        <v>0</v>
      </c>
      <c r="K75" s="74">
        <f>+IF(Pressupostos!L$14=0,0,IF(Pressupostos!$H$219&gt;SUM('6. Investimento'!$F75:J75),MIN(((Pressupostos!$H$219/Pressupostos!$E$219/12)*Pressupostos!L$14),(Pressupostos!$H$219-SUM('6. Investimento'!$F75:J75))),0))</f>
        <v>0</v>
      </c>
      <c r="L75" s="67"/>
    </row>
    <row r="76" spans="2:12" ht="17.25" customHeight="1" x14ac:dyDescent="0.2">
      <c r="B76" s="34"/>
      <c r="C76" s="340" t="s">
        <v>39</v>
      </c>
      <c r="D76" s="341">
        <v>5</v>
      </c>
      <c r="E76" s="341"/>
      <c r="F76" s="74"/>
      <c r="G76" s="74"/>
      <c r="H76" s="74">
        <f>+IF(Pressupostos!I$14=0,0,IF(Pressupostos!$I$219&gt;SUM('6. Investimento'!$F76:G76),MIN(((Pressupostos!$I$219/Pressupostos!$E$219/12)*Pressupostos!I$14),(Pressupostos!$I$219-SUM('6. Investimento'!$F76:G76))),0))</f>
        <v>0</v>
      </c>
      <c r="I76" s="74">
        <f>+IF(Pressupostos!J$14=0,0,IF(Pressupostos!$I$219&gt;SUM('6. Investimento'!$F76:H76),MIN(((Pressupostos!$I$219/Pressupostos!$E$219/12)*Pressupostos!J$14),(Pressupostos!$I$219-SUM('6. Investimento'!$F76:H76))),0))</f>
        <v>0</v>
      </c>
      <c r="J76" s="74">
        <f>+IF(Pressupostos!K$14=0,0,IF(Pressupostos!$I$219&gt;SUM('6. Investimento'!$F76:I76),MIN(((Pressupostos!$I$219/Pressupostos!$E$219/12)*Pressupostos!K$14),(Pressupostos!$I$219-SUM('6. Investimento'!$F76:I76))),0))</f>
        <v>0</v>
      </c>
      <c r="K76" s="74">
        <f>+IF(Pressupostos!L$14=0,0,IF(Pressupostos!$I$219&gt;SUM('6. Investimento'!$F76:J76),MIN(((Pressupostos!$I$219/Pressupostos!$E$219/12)*Pressupostos!L$14),(Pressupostos!$I$219-SUM('6. Investimento'!$F76:J76))),0))</f>
        <v>0</v>
      </c>
      <c r="L76" s="67"/>
    </row>
    <row r="77" spans="2:12" ht="17.25" customHeight="1" x14ac:dyDescent="0.2">
      <c r="B77" s="34"/>
      <c r="C77" s="340" t="s">
        <v>39</v>
      </c>
      <c r="D77" s="341">
        <v>5</v>
      </c>
      <c r="E77" s="341"/>
      <c r="F77" s="74"/>
      <c r="G77" s="74"/>
      <c r="H77" s="74"/>
      <c r="I77" s="74">
        <f>+IF(Pressupostos!J$14=0,0,IF(Pressupostos!$J$219&gt;SUM('6. Investimento'!$F77:H77),MIN(((Pressupostos!$J$219/Pressupostos!$E$219/12)*Pressupostos!J$14),(Pressupostos!$J$219-SUM('6. Investimento'!$F77:H77))),0))</f>
        <v>0</v>
      </c>
      <c r="J77" s="74">
        <f>+IF(Pressupostos!K$14=0,0,IF(Pressupostos!$J$219&gt;SUM('6. Investimento'!$F77:I77),MIN(((Pressupostos!$J$219/Pressupostos!$E$219/12)*Pressupostos!K$14),(Pressupostos!$J$219-SUM('6. Investimento'!$F77:I77))),0))</f>
        <v>0</v>
      </c>
      <c r="K77" s="74">
        <f>+IF(Pressupostos!L$14=0,0,IF(Pressupostos!$J$219&gt;SUM('6. Investimento'!$F77:J77),MIN(((Pressupostos!$J$219/Pressupostos!$E$219/12)*Pressupostos!L$14),(Pressupostos!$J$219-SUM('6. Investimento'!$F77:J77))),0))</f>
        <v>0</v>
      </c>
      <c r="L77" s="67"/>
    </row>
    <row r="78" spans="2:12" ht="17.25" customHeight="1" x14ac:dyDescent="0.2">
      <c r="B78" s="34"/>
      <c r="C78" s="340" t="s">
        <v>39</v>
      </c>
      <c r="D78" s="341">
        <v>5</v>
      </c>
      <c r="E78" s="341"/>
      <c r="F78" s="74"/>
      <c r="G78" s="74"/>
      <c r="H78" s="74"/>
      <c r="I78" s="74"/>
      <c r="J78" s="74">
        <f>+IF(Pressupostos!K$14=0,0,IF(Pressupostos!$K$219&gt;SUM('6. Investimento'!$F78:I78),MIN(((Pressupostos!$K$219/Pressupostos!$E$219/12)*Pressupostos!K$14),(Pressupostos!$K$219-SUM('6. Investimento'!$F78:I78))),0))</f>
        <v>0</v>
      </c>
      <c r="K78" s="74">
        <f>+IF(Pressupostos!L$14=0,0,IF(Pressupostos!$K$219&gt;SUM('6. Investimento'!$F78:J78),MIN(((Pressupostos!$K$219/Pressupostos!$E$219/12)*Pressupostos!L$14),(Pressupostos!$K$219-SUM('6. Investimento'!$F78:J78))),0))</f>
        <v>0</v>
      </c>
      <c r="L78" s="67"/>
    </row>
    <row r="79" spans="2:12" ht="17.25" customHeight="1" x14ac:dyDescent="0.2">
      <c r="B79" s="34"/>
      <c r="C79" s="340" t="s">
        <v>39</v>
      </c>
      <c r="D79" s="341">
        <v>5</v>
      </c>
      <c r="E79" s="341"/>
      <c r="F79" s="74"/>
      <c r="G79" s="74"/>
      <c r="H79" s="74"/>
      <c r="I79" s="74"/>
      <c r="J79" s="74"/>
      <c r="K79" s="74">
        <f>+IF(Pressupostos!L$14=0,0,IF(Pressupostos!$I$219&gt;SUM('6. Investimento'!$F79:J79),MIN(((Pressupostos!#REF!/Pressupostos!$E$219/12)*Pressupostos!L$14),(Pressupostos!#REF!-SUM('6. Investimento'!$F79:J79))),0))</f>
        <v>0</v>
      </c>
      <c r="L79" s="67"/>
    </row>
    <row r="80" spans="2:12" s="70" customFormat="1" ht="17.25" customHeight="1" x14ac:dyDescent="0.2">
      <c r="B80" s="119" t="s">
        <v>1</v>
      </c>
      <c r="C80" s="337" t="s">
        <v>561</v>
      </c>
      <c r="D80" s="338"/>
      <c r="E80" s="338"/>
      <c r="F80" s="339">
        <f t="shared" ref="F80:K80" si="14">SUBTOTAL(9,F81:F86)</f>
        <v>0</v>
      </c>
      <c r="G80" s="339">
        <f t="shared" si="14"/>
        <v>0</v>
      </c>
      <c r="H80" s="339">
        <f t="shared" si="14"/>
        <v>0</v>
      </c>
      <c r="I80" s="339">
        <f t="shared" si="14"/>
        <v>0</v>
      </c>
      <c r="J80" s="339">
        <f t="shared" si="14"/>
        <v>0</v>
      </c>
      <c r="K80" s="339">
        <f t="shared" si="14"/>
        <v>0</v>
      </c>
      <c r="L80" s="120"/>
    </row>
    <row r="81" spans="2:12" ht="17.25" customHeight="1" x14ac:dyDescent="0.2">
      <c r="B81" s="56"/>
      <c r="C81" s="340" t="s">
        <v>561</v>
      </c>
      <c r="D81" s="341">
        <v>6</v>
      </c>
      <c r="E81" s="341"/>
      <c r="F81" s="74">
        <f>+IF(Pressupostos!G$14=0,0,IF(Pressupostos!$G220&gt;SUM('6. Investimento'!E81:$E81),MIN(((Pressupostos!$G220/Pressupostos!$E220/12)*Pressupostos!G$14),(Pressupostos!$G220-SUM('6. Investimento'!E81:$E81))),0))</f>
        <v>0</v>
      </c>
      <c r="G81" s="74">
        <f>+IF(Pressupostos!H$14=0,0,IF(Pressupostos!$G220&gt;SUM('6. Investimento'!F81:$F81),MIN(((Pressupostos!$G220/Pressupostos!$E220/12)*Pressupostos!H$14),(Pressupostos!$G220-SUM('6. Investimento'!F81:$F81))),0))</f>
        <v>0</v>
      </c>
      <c r="H81" s="74">
        <f>+IF(Pressupostos!I$14=0,0,IF(Pressupostos!$G220&gt;SUM('6. Investimento'!$F81:G81),MIN(((Pressupostos!$G220/Pressupostos!$E220/12)*Pressupostos!I$14),(Pressupostos!$G220-SUM('6. Investimento'!$F81:G81))),0))</f>
        <v>0</v>
      </c>
      <c r="I81" s="74">
        <f>+IF(Pressupostos!J$14=0,0,IF(Pressupostos!$G220&gt;SUM('6. Investimento'!$F81:H81),MIN(((Pressupostos!$G220/Pressupostos!$E220/12)*Pressupostos!J$14),(Pressupostos!$G220-SUM('6. Investimento'!$F81:H81))),0))</f>
        <v>0</v>
      </c>
      <c r="J81" s="74">
        <f>+IF(Pressupostos!K$14=0,0,IF(Pressupostos!$G220&gt;SUM('6. Investimento'!$F81:I81),MIN(((Pressupostos!$G220/Pressupostos!$E220/12)*Pressupostos!K$14),(Pressupostos!$G220-SUM('6. Investimento'!$F81:I81))),0))</f>
        <v>0</v>
      </c>
      <c r="K81" s="74">
        <f>+IF(Pressupostos!L$14=0,0,IF(Pressupostos!$G220&gt;SUM('6. Investimento'!$F81:J81),MIN(((Pressupostos!$G220/Pressupostos!$E220/12)*Pressupostos!L$14),(Pressupostos!$G220-SUM('6. Investimento'!$F81:J81))),0))</f>
        <v>0</v>
      </c>
      <c r="L81" s="67"/>
    </row>
    <row r="82" spans="2:12" ht="17.25" customHeight="1" x14ac:dyDescent="0.2">
      <c r="B82" s="56"/>
      <c r="C82" s="340" t="s">
        <v>561</v>
      </c>
      <c r="D82" s="341">
        <v>6</v>
      </c>
      <c r="E82" s="341"/>
      <c r="F82" s="74"/>
      <c r="G82" s="74">
        <f>+IF(Pressupostos!H$14=0,0,IF(Pressupostos!$H$220&gt;SUM('6. Investimento'!F82:$F82),MIN(((Pressupostos!$H$220/Pressupostos!$E$220/12)*Pressupostos!H$14),(Pressupostos!$H$220-SUM('6. Investimento'!F82:$F82))),0))</f>
        <v>0</v>
      </c>
      <c r="H82" s="74">
        <f>+IF(Pressupostos!I$14=0,0,IF(Pressupostos!$H$220&gt;SUM('6. Investimento'!$F82:G82),MIN(((Pressupostos!$H$220/Pressupostos!$E$220/12)*Pressupostos!I$14),(Pressupostos!$H$220-SUM('6. Investimento'!$F82:G82))),0))</f>
        <v>0</v>
      </c>
      <c r="I82" s="74">
        <f>+IF(Pressupostos!J$14=0,0,IF(Pressupostos!$H$220&gt;SUM('6. Investimento'!$F82:H82),MIN(((Pressupostos!$H$220/Pressupostos!$E$220/12)*Pressupostos!J$14),(Pressupostos!$H$220-SUM('6. Investimento'!$F82:H82))),0))</f>
        <v>0</v>
      </c>
      <c r="J82" s="74">
        <f>+IF(Pressupostos!K$14=0,0,IF(Pressupostos!$H$220&gt;SUM('6. Investimento'!$F82:I82),MIN(((Pressupostos!$H$220/Pressupostos!$E$220/12)*Pressupostos!K$14),(Pressupostos!$H$220-SUM('6. Investimento'!$F82:I82))),0))</f>
        <v>0</v>
      </c>
      <c r="K82" s="74">
        <f>+IF(Pressupostos!L$14=0,0,IF(Pressupostos!$H$220&gt;SUM('6. Investimento'!$F82:J82),MIN(((Pressupostos!$H$220/Pressupostos!$E$220/12)*Pressupostos!L$14),(Pressupostos!$H$220-SUM('6. Investimento'!$F82:J82))),0))</f>
        <v>0</v>
      </c>
      <c r="L82" s="67"/>
    </row>
    <row r="83" spans="2:12" ht="17.25" customHeight="1" x14ac:dyDescent="0.2">
      <c r="B83" s="56"/>
      <c r="C83" s="340" t="s">
        <v>561</v>
      </c>
      <c r="D83" s="341">
        <v>6</v>
      </c>
      <c r="E83" s="341"/>
      <c r="F83" s="74"/>
      <c r="G83" s="74"/>
      <c r="H83" s="74">
        <f>+IF(Pressupostos!I$14=0,0,IF(Pressupostos!$I$220&gt;SUM('6. Investimento'!$F83:G83),MIN(((Pressupostos!$I$220/Pressupostos!$E$220/12)*Pressupostos!I$14),(Pressupostos!$I$220-SUM('6. Investimento'!$F83:G83))),0))</f>
        <v>0</v>
      </c>
      <c r="I83" s="74">
        <f>+IF(Pressupostos!J$14=0,0,IF(Pressupostos!$I$220&gt;SUM('6. Investimento'!$F83:H83),MIN(((Pressupostos!$I$220/Pressupostos!$E$220/12)*Pressupostos!J$14),(Pressupostos!$I$220-SUM('6. Investimento'!$F83:H83))),0))</f>
        <v>0</v>
      </c>
      <c r="J83" s="74">
        <f>+IF(Pressupostos!K$14=0,0,IF(Pressupostos!$I$220&gt;SUM('6. Investimento'!$F83:I83),MIN(((Pressupostos!$I$220/Pressupostos!$E$220/12)*Pressupostos!K$14),(Pressupostos!$I$220-SUM('6. Investimento'!$F83:I83))),0))</f>
        <v>0</v>
      </c>
      <c r="K83" s="74">
        <f>+IF(Pressupostos!L$14=0,0,IF(Pressupostos!$I$220&gt;SUM('6. Investimento'!$F83:J83),MIN(((Pressupostos!$I$220/Pressupostos!$E$220/12)*Pressupostos!L$14),(Pressupostos!$I$220-SUM('6. Investimento'!$F83:J83))),0))</f>
        <v>0</v>
      </c>
      <c r="L83" s="67"/>
    </row>
    <row r="84" spans="2:12" ht="17.25" customHeight="1" x14ac:dyDescent="0.2">
      <c r="B84" s="56"/>
      <c r="C84" s="340" t="s">
        <v>561</v>
      </c>
      <c r="D84" s="341">
        <v>6</v>
      </c>
      <c r="E84" s="341"/>
      <c r="F84" s="74"/>
      <c r="G84" s="74"/>
      <c r="H84" s="74"/>
      <c r="I84" s="74">
        <f>+IF(Pressupostos!J$14=0,0,IF(Pressupostos!$J$220&gt;SUM('6. Investimento'!$F84:H84),MIN(((Pressupostos!$J$220/Pressupostos!$E$220/12)*Pressupostos!J$14),(Pressupostos!$J$220-SUM('6. Investimento'!$F84:H84))),0))</f>
        <v>0</v>
      </c>
      <c r="J84" s="74">
        <f>+IF(Pressupostos!K$14=0,0,IF(Pressupostos!$J$220&gt;SUM('6. Investimento'!$F84:I84),MIN(((Pressupostos!$J$220/Pressupostos!$E$220/12)*Pressupostos!K$14),(Pressupostos!$J$220-SUM('6. Investimento'!$F84:I84))),0))</f>
        <v>0</v>
      </c>
      <c r="K84" s="74">
        <f>+IF(Pressupostos!L$14=0,0,IF(Pressupostos!$J$220&gt;SUM('6. Investimento'!$F84:J84),MIN(((Pressupostos!$J$220/Pressupostos!$E$220/12)*Pressupostos!L$14),(Pressupostos!$J$220-SUM('6. Investimento'!$F84:J84))),0))</f>
        <v>0</v>
      </c>
      <c r="L84" s="67"/>
    </row>
    <row r="85" spans="2:12" ht="17.25" customHeight="1" x14ac:dyDescent="0.2">
      <c r="B85" s="56"/>
      <c r="C85" s="340" t="s">
        <v>561</v>
      </c>
      <c r="D85" s="341">
        <v>6</v>
      </c>
      <c r="E85" s="341"/>
      <c r="F85" s="74"/>
      <c r="G85" s="74"/>
      <c r="H85" s="74"/>
      <c r="I85" s="74"/>
      <c r="J85" s="74">
        <f>+IF(Pressupostos!K$14=0,0,IF(Pressupostos!$K$220&gt;SUM('6. Investimento'!$F85:I85),MIN(((Pressupostos!$K$220/Pressupostos!$E$220/12)*Pressupostos!K$14),(Pressupostos!$K$220-SUM('6. Investimento'!$F85:I85))),0))</f>
        <v>0</v>
      </c>
      <c r="K85" s="74">
        <f>+IF(Pressupostos!L$14=0,0,IF(Pressupostos!$K$220&gt;SUM('6. Investimento'!$F85:J85),MIN(((Pressupostos!$K$220/Pressupostos!$E$220/12)*Pressupostos!L$14),(Pressupostos!$K$220-SUM('6. Investimento'!$F85:J85))),0))</f>
        <v>0</v>
      </c>
      <c r="L85" s="67"/>
    </row>
    <row r="86" spans="2:12" ht="17.25" customHeight="1" x14ac:dyDescent="0.2">
      <c r="B86" s="56"/>
      <c r="C86" s="340" t="s">
        <v>561</v>
      </c>
      <c r="D86" s="341">
        <v>6</v>
      </c>
      <c r="E86" s="341"/>
      <c r="F86" s="74"/>
      <c r="G86" s="74"/>
      <c r="H86" s="74"/>
      <c r="I86" s="74"/>
      <c r="J86" s="74"/>
      <c r="K86" s="74">
        <f>+IF(Pressupostos!L$14=0,0,IF(Pressupostos!$K$220&gt;SUM('6. Investimento'!$F86:J86),MIN(((Pressupostos!$K$220/Pressupostos!$E$220/12)*Pressupostos!L$14),(Pressupostos!$K$220-SUM('6. Investimento'!$F86:J86))),0))</f>
        <v>0</v>
      </c>
      <c r="L86" s="67"/>
    </row>
    <row r="87" spans="2:12" s="79" customFormat="1" ht="17.25" customHeight="1" x14ac:dyDescent="0.25">
      <c r="B87" s="174" t="s">
        <v>1</v>
      </c>
      <c r="C87" s="334" t="s">
        <v>129</v>
      </c>
      <c r="D87" s="335"/>
      <c r="E87" s="335"/>
      <c r="F87" s="336">
        <f t="shared" ref="F87:K87" si="15">+F88+F95+F102+F109</f>
        <v>0</v>
      </c>
      <c r="G87" s="336">
        <f t="shared" si="15"/>
        <v>0</v>
      </c>
      <c r="H87" s="336">
        <f t="shared" si="15"/>
        <v>0</v>
      </c>
      <c r="I87" s="336">
        <f t="shared" si="15"/>
        <v>0</v>
      </c>
      <c r="J87" s="336">
        <f t="shared" si="15"/>
        <v>0</v>
      </c>
      <c r="K87" s="336">
        <f t="shared" si="15"/>
        <v>0</v>
      </c>
      <c r="L87" s="209"/>
    </row>
    <row r="88" spans="2:12" s="70" customFormat="1" ht="17.25" customHeight="1" x14ac:dyDescent="0.2">
      <c r="B88" s="119" t="s">
        <v>1</v>
      </c>
      <c r="C88" s="337" t="s">
        <v>41</v>
      </c>
      <c r="D88" s="338"/>
      <c r="E88" s="338"/>
      <c r="F88" s="339">
        <f t="shared" ref="F88:K88" si="16">SUBTOTAL(9,F89:F94)</f>
        <v>0</v>
      </c>
      <c r="G88" s="339">
        <f t="shared" si="16"/>
        <v>0</v>
      </c>
      <c r="H88" s="339">
        <f t="shared" si="16"/>
        <v>0</v>
      </c>
      <c r="I88" s="339">
        <f t="shared" si="16"/>
        <v>0</v>
      </c>
      <c r="J88" s="339">
        <f t="shared" si="16"/>
        <v>0</v>
      </c>
      <c r="K88" s="339">
        <f t="shared" si="16"/>
        <v>0</v>
      </c>
      <c r="L88" s="120"/>
    </row>
    <row r="89" spans="2:12" ht="17.25" customHeight="1" x14ac:dyDescent="0.2">
      <c r="B89" s="34"/>
      <c r="C89" s="340" t="s">
        <v>41</v>
      </c>
      <c r="D89" s="341">
        <v>7</v>
      </c>
      <c r="E89" s="341"/>
      <c r="F89" s="74">
        <f>+IF(Pressupostos!G$14=0,0,IF(Pressupostos!$G222&gt;SUM('6. Investimento'!E89:$E89),MIN(((Pressupostos!$G222/Pressupostos!$E222/12)*Pressupostos!G$14),(Pressupostos!$G222-SUM('6. Investimento'!E89:$E89))),0))</f>
        <v>0</v>
      </c>
      <c r="G89" s="74">
        <f>+IF(Pressupostos!H$14=0,0,IF(Pressupostos!$G222&gt;SUM('6. Investimento'!F89:$F89),MIN(((Pressupostos!$G222/Pressupostos!$E222/12)*Pressupostos!H$14),(Pressupostos!$G222-SUM('6. Investimento'!F89:$F89))),0))</f>
        <v>0</v>
      </c>
      <c r="H89" s="74">
        <f>+IF(Pressupostos!I$14=0,0,IF(Pressupostos!$G222&gt;SUM('6. Investimento'!$F89:G89),MIN(((Pressupostos!$G222/Pressupostos!$E222/12)*Pressupostos!I$14),(Pressupostos!$G222-SUM('6. Investimento'!$F89:G89))),0))</f>
        <v>0</v>
      </c>
      <c r="I89" s="74">
        <f>+IF(Pressupostos!J$14=0,0,IF(Pressupostos!$G222&gt;SUM('6. Investimento'!$F89:H89),MIN(((Pressupostos!$G222/Pressupostos!$E222/12)*Pressupostos!J$14),(Pressupostos!$G222-SUM('6. Investimento'!$F89:H89))),0))</f>
        <v>0</v>
      </c>
      <c r="J89" s="74">
        <f>+IF(Pressupostos!K$14=0,0,IF(Pressupostos!$G222&gt;SUM('6. Investimento'!$F89:I89),MIN(((Pressupostos!$G222/Pressupostos!$E222/12)*Pressupostos!K$14),(Pressupostos!$G222-SUM('6. Investimento'!$F89:I89))),0))</f>
        <v>0</v>
      </c>
      <c r="K89" s="74">
        <f>+IF(Pressupostos!L$14=0,0,IF(Pressupostos!$G222&gt;SUM('6. Investimento'!$F89:J89),MIN(((Pressupostos!$G222/Pressupostos!$E222/12)*Pressupostos!L$14),(Pressupostos!$G222-SUM('6. Investimento'!$F89:J89))),0))</f>
        <v>0</v>
      </c>
      <c r="L89" s="67"/>
    </row>
    <row r="90" spans="2:12" ht="17.25" customHeight="1" x14ac:dyDescent="0.2">
      <c r="B90" s="34"/>
      <c r="C90" s="340" t="s">
        <v>41</v>
      </c>
      <c r="D90" s="341">
        <v>7</v>
      </c>
      <c r="E90" s="341"/>
      <c r="F90" s="74"/>
      <c r="G90" s="74">
        <f>+IF(Pressupostos!H$14=0,0,IF(Pressupostos!$H$222&gt;SUM('6. Investimento'!F90:$F90),MIN(((Pressupostos!$H$222/Pressupostos!$E$222/12)*Pressupostos!H$14),(Pressupostos!$H$222-SUM('6. Investimento'!F90:$F90))),0))</f>
        <v>0</v>
      </c>
      <c r="H90" s="74">
        <f>+IF(Pressupostos!I$14=0,0,IF(Pressupostos!$H$222&gt;SUM('6. Investimento'!$F90:G90),MIN(((Pressupostos!$H$222/Pressupostos!$E$222/12)*Pressupostos!I$14),(Pressupostos!$H$222-SUM('6. Investimento'!$F90:G90))),0))</f>
        <v>0</v>
      </c>
      <c r="I90" s="74">
        <f>+IF(Pressupostos!J$14=0,0,IF(Pressupostos!$H$222&gt;SUM('6. Investimento'!$F90:H90),MIN(((Pressupostos!$H$222/Pressupostos!$E$222/12)*Pressupostos!J$14),(Pressupostos!$H$222-SUM('6. Investimento'!$F90:H90))),0))</f>
        <v>0</v>
      </c>
      <c r="J90" s="74">
        <f>+IF(Pressupostos!K$14=0,0,IF(Pressupostos!$H$222&gt;SUM('6. Investimento'!$F90:I90),MIN(((Pressupostos!$H$222/Pressupostos!$E$222/12)*Pressupostos!K$14),(Pressupostos!$H$222-SUM('6. Investimento'!$F90:I90))),0))</f>
        <v>0</v>
      </c>
      <c r="K90" s="74">
        <f>+IF(Pressupostos!L$14=0,0,IF(Pressupostos!$H$222&gt;SUM('6. Investimento'!$F90:J90),MIN(((Pressupostos!$H$222/Pressupostos!$E$222/12)*Pressupostos!L$14),(Pressupostos!$H$222-SUM('6. Investimento'!$F90:J90))),0))</f>
        <v>0</v>
      </c>
      <c r="L90" s="67"/>
    </row>
    <row r="91" spans="2:12" ht="17.25" customHeight="1" x14ac:dyDescent="0.2">
      <c r="B91" s="34"/>
      <c r="C91" s="340" t="s">
        <v>41</v>
      </c>
      <c r="D91" s="341">
        <v>7</v>
      </c>
      <c r="E91" s="341"/>
      <c r="F91" s="74"/>
      <c r="G91" s="74"/>
      <c r="H91" s="74">
        <f>+IF(Pressupostos!I$14=0,0,IF(Pressupostos!$I$222&gt;SUM('6. Investimento'!$F91:G91),MIN(((Pressupostos!$I$222/Pressupostos!$E$222/12)*Pressupostos!I$14),(Pressupostos!$I$222-SUM('6. Investimento'!$F91:G91))),0))</f>
        <v>0</v>
      </c>
      <c r="I91" s="74">
        <f>+IF(Pressupostos!J$14=0,0,IF(Pressupostos!$I$222&gt;SUM('6. Investimento'!$F91:H91),MIN(((Pressupostos!$I$222/Pressupostos!$E$222/12)*Pressupostos!J$14),(Pressupostos!$I$222-SUM('6. Investimento'!$F91:H91))),0))</f>
        <v>0</v>
      </c>
      <c r="J91" s="74">
        <f>+IF(Pressupostos!K$14=0,0,IF(Pressupostos!$I$222&gt;SUM('6. Investimento'!$F91:I91),MIN(((Pressupostos!$I$222/Pressupostos!$E$222/12)*Pressupostos!K$14),(Pressupostos!$I$222-SUM('6. Investimento'!$F91:I91))),0))</f>
        <v>0</v>
      </c>
      <c r="K91" s="74">
        <f>+IF(Pressupostos!L$14=0,0,IF(Pressupostos!$I$222&gt;SUM('6. Investimento'!$F91:J91),MIN(((Pressupostos!$I$222/Pressupostos!$E$222/12)*Pressupostos!L$14),(Pressupostos!$I$222-SUM('6. Investimento'!$F91:J91))),0))</f>
        <v>0</v>
      </c>
      <c r="L91" s="67"/>
    </row>
    <row r="92" spans="2:12" ht="17.25" customHeight="1" x14ac:dyDescent="0.2">
      <c r="B92" s="34"/>
      <c r="C92" s="340" t="s">
        <v>41</v>
      </c>
      <c r="D92" s="341">
        <v>7</v>
      </c>
      <c r="E92" s="341"/>
      <c r="F92" s="74"/>
      <c r="G92" s="74"/>
      <c r="H92" s="74"/>
      <c r="I92" s="74">
        <f>+IF(Pressupostos!J$14=0,0,IF(Pressupostos!$J$222&gt;SUM('6. Investimento'!$F92:H92),MIN(((Pressupostos!$J$222/Pressupostos!$E$222/12)*Pressupostos!J$14),(Pressupostos!$J$222-SUM('6. Investimento'!$F92:H92))),0))</f>
        <v>0</v>
      </c>
      <c r="J92" s="74">
        <f>+IF(Pressupostos!K$14=0,0,IF(Pressupostos!$J$222&gt;SUM('6. Investimento'!$F92:I92),MIN(((Pressupostos!$J$222/Pressupostos!$E$222/12)*Pressupostos!K$14),(Pressupostos!$J$222-SUM('6. Investimento'!$F92:I92))),0))</f>
        <v>0</v>
      </c>
      <c r="K92" s="74">
        <f>+IF(Pressupostos!L$14=0,0,IF(Pressupostos!$J$222&gt;SUM('6. Investimento'!$F92:J92),MIN(((Pressupostos!$J$222/Pressupostos!$E$222/12)*Pressupostos!L$14),(Pressupostos!$J$222-SUM('6. Investimento'!$F92:J92))),0))</f>
        <v>0</v>
      </c>
      <c r="L92" s="67"/>
    </row>
    <row r="93" spans="2:12" ht="17.25" customHeight="1" x14ac:dyDescent="0.2">
      <c r="B93" s="34"/>
      <c r="C93" s="340" t="s">
        <v>41</v>
      </c>
      <c r="D93" s="341">
        <v>7</v>
      </c>
      <c r="E93" s="341"/>
      <c r="F93" s="74"/>
      <c r="G93" s="74"/>
      <c r="H93" s="74"/>
      <c r="I93" s="74"/>
      <c r="J93" s="74">
        <f>+IF(Pressupostos!K$14=0,0,IF(Pressupostos!$K$222&gt;SUM('6. Investimento'!$F93:I93),MIN(((Pressupostos!$K$222/Pressupostos!$E$222/12)*Pressupostos!K$14),(Pressupostos!$K$222-SUM('6. Investimento'!$F93:I93))),0))</f>
        <v>0</v>
      </c>
      <c r="K93" s="74">
        <f>+IF(Pressupostos!L$14=0,0,IF(Pressupostos!$K$222&gt;SUM('6. Investimento'!$F93:J93),MIN(((Pressupostos!$K$222/Pressupostos!$E$222/12)*Pressupostos!L$14),(Pressupostos!$K$222-SUM('6. Investimento'!$F93:J93))),0))</f>
        <v>0</v>
      </c>
      <c r="L93" s="67"/>
    </row>
    <row r="94" spans="2:12" ht="17.25" customHeight="1" x14ac:dyDescent="0.2">
      <c r="B94" s="34"/>
      <c r="C94" s="340" t="s">
        <v>41</v>
      </c>
      <c r="D94" s="341">
        <v>7</v>
      </c>
      <c r="E94" s="341"/>
      <c r="F94" s="74"/>
      <c r="G94" s="74"/>
      <c r="H94" s="74"/>
      <c r="I94" s="74"/>
      <c r="J94" s="74"/>
      <c r="K94" s="74">
        <f>+IF(Pressupostos!L$14=0,0,IF(Pressupostos!$I$222&gt;SUM('6. Investimento'!$F94:J94),MIN(((Pressupostos!#REF!/Pressupostos!$E$222/12)*Pressupostos!L$14),(Pressupostos!#REF!-SUM('6. Investimento'!$F94:J94))),0))</f>
        <v>0</v>
      </c>
      <c r="L94" s="67"/>
    </row>
    <row r="95" spans="2:12" s="70" customFormat="1" ht="17.25" customHeight="1" x14ac:dyDescent="0.2">
      <c r="B95" s="119" t="s">
        <v>1</v>
      </c>
      <c r="C95" s="337" t="s">
        <v>125</v>
      </c>
      <c r="D95" s="338"/>
      <c r="E95" s="338"/>
      <c r="F95" s="339">
        <f t="shared" ref="F95:K95" si="17">SUM(F96:F101)</f>
        <v>0</v>
      </c>
      <c r="G95" s="339">
        <f t="shared" si="17"/>
        <v>0</v>
      </c>
      <c r="H95" s="339">
        <f t="shared" si="17"/>
        <v>0</v>
      </c>
      <c r="I95" s="339">
        <f t="shared" si="17"/>
        <v>0</v>
      </c>
      <c r="J95" s="339">
        <f t="shared" si="17"/>
        <v>0</v>
      </c>
      <c r="K95" s="339">
        <f t="shared" si="17"/>
        <v>0</v>
      </c>
      <c r="L95" s="120"/>
    </row>
    <row r="96" spans="2:12" ht="17.25" customHeight="1" x14ac:dyDescent="0.2">
      <c r="B96" s="34"/>
      <c r="C96" s="342" t="s">
        <v>125</v>
      </c>
      <c r="D96" s="341">
        <v>8</v>
      </c>
      <c r="E96" s="341"/>
      <c r="F96" s="74">
        <f>+IF(Pressupostos!G$14=0,0,IF(Pressupostos!$G223&gt;SUM('6. Investimento'!E96:$E96),MIN(((Pressupostos!$G223/Pressupostos!$E223/12)*Pressupostos!G$14),(Pressupostos!$G223-SUM('6. Investimento'!E96:$E96))),0))</f>
        <v>0</v>
      </c>
      <c r="G96" s="74">
        <f>+IF(Pressupostos!H$14=0,0,IF(Pressupostos!$G223&gt;SUM('6. Investimento'!F96:$F96),MIN(((Pressupostos!$G223/Pressupostos!$E223/12)*Pressupostos!H$14),(Pressupostos!$G223-SUM('6. Investimento'!F96:$F96))),0))</f>
        <v>0</v>
      </c>
      <c r="H96" s="74">
        <f>+IF(Pressupostos!I$14=0,0,IF(Pressupostos!$G223&gt;SUM('6. Investimento'!$F96:G96),MIN(((Pressupostos!$G223/Pressupostos!$E223/12)*Pressupostos!I$14),(Pressupostos!$G223-SUM('6. Investimento'!$F96:G96))),0))</f>
        <v>0</v>
      </c>
      <c r="I96" s="74">
        <f>+IF(Pressupostos!J$14=0,0,IF(Pressupostos!$G223&gt;SUM('6. Investimento'!$F96:H96),MIN(((Pressupostos!$G223/Pressupostos!$E223/12)*Pressupostos!J$14),(Pressupostos!$G223-SUM('6. Investimento'!$F96:H96))),0))</f>
        <v>0</v>
      </c>
      <c r="J96" s="74">
        <f>+IF(Pressupostos!K$14=0,0,IF(Pressupostos!$G223&gt;SUM('6. Investimento'!$F96:I96),MIN(((Pressupostos!$G223/Pressupostos!$E223/12)*Pressupostos!K$14),(Pressupostos!$G223-SUM('6. Investimento'!$F96:I96))),0))</f>
        <v>0</v>
      </c>
      <c r="K96" s="74">
        <f>+IF(Pressupostos!L$14=0,0,IF(Pressupostos!$G223&gt;SUM('6. Investimento'!$F96:J96),MIN(((Pressupostos!$G223/Pressupostos!$E223/12)*Pressupostos!L$14),(Pressupostos!$G223-SUM('6. Investimento'!$F96:J96))),0))</f>
        <v>0</v>
      </c>
      <c r="L96" s="67"/>
    </row>
    <row r="97" spans="2:12" ht="17.25" customHeight="1" x14ac:dyDescent="0.2">
      <c r="B97" s="34"/>
      <c r="C97" s="342" t="s">
        <v>125</v>
      </c>
      <c r="D97" s="341">
        <v>8</v>
      </c>
      <c r="E97" s="341"/>
      <c r="F97" s="74"/>
      <c r="G97" s="74">
        <f>+IF(Pressupostos!H$14=0,0,IF(Pressupostos!$H$223&gt;SUM('6. Investimento'!F97:$F97),MIN(((Pressupostos!$H$223/Pressupostos!$E$223/12)*Pressupostos!H$14),(Pressupostos!$H$223-SUM('6. Investimento'!F97:$F97))),0))</f>
        <v>0</v>
      </c>
      <c r="H97" s="74">
        <f>+IF(Pressupostos!I$14=0,0,IF(Pressupostos!$H$223&gt;SUM('6. Investimento'!$F97:G97),MIN(((Pressupostos!$H$223/Pressupostos!$E$223/12)*Pressupostos!I$14),(Pressupostos!$H$223-SUM('6. Investimento'!$F97:G97))),0))</f>
        <v>0</v>
      </c>
      <c r="I97" s="74">
        <f>+IF(Pressupostos!J$14=0,0,IF(Pressupostos!$H$223&gt;SUM('6. Investimento'!$F97:H97),MIN(((Pressupostos!$H$223/Pressupostos!$E$223/12)*Pressupostos!J$14),(Pressupostos!$H$223-SUM('6. Investimento'!$F97:H97))),0))</f>
        <v>0</v>
      </c>
      <c r="J97" s="74">
        <f>+IF(Pressupostos!K$14=0,0,IF(Pressupostos!$H$223&gt;SUM('6. Investimento'!$F97:I97),MIN(((Pressupostos!$H$223/Pressupostos!$E$223/12)*Pressupostos!K$14),(Pressupostos!$H$223-SUM('6. Investimento'!$F97:I97))),0))</f>
        <v>0</v>
      </c>
      <c r="K97" s="74">
        <f>+IF(Pressupostos!L$14=0,0,IF(Pressupostos!$H$223&gt;SUM('6. Investimento'!$F97:J97),MIN(((Pressupostos!$H$223/Pressupostos!$E$223/12)*Pressupostos!L$14),(Pressupostos!$H$223-SUM('6. Investimento'!$F97:J97))),0))</f>
        <v>0</v>
      </c>
      <c r="L97" s="67"/>
    </row>
    <row r="98" spans="2:12" ht="17.25" customHeight="1" x14ac:dyDescent="0.2">
      <c r="B98" s="34"/>
      <c r="C98" s="342" t="s">
        <v>125</v>
      </c>
      <c r="D98" s="341">
        <v>8</v>
      </c>
      <c r="E98" s="341"/>
      <c r="F98" s="74"/>
      <c r="G98" s="74"/>
      <c r="H98" s="74">
        <f>+IF(Pressupostos!I$14=0,0,IF(Pressupostos!$I$223&gt;SUM('6. Investimento'!$F98:G98),MIN(((Pressupostos!$I$223/Pressupostos!$E$223/12)*Pressupostos!I$14),(Pressupostos!$I$223-SUM('6. Investimento'!$F98:G98))),0))</f>
        <v>0</v>
      </c>
      <c r="I98" s="74">
        <f>+IF(Pressupostos!J$14=0,0,IF(Pressupostos!$I$223&gt;SUM('6. Investimento'!$F98:H98),MIN(((Pressupostos!$I$223/Pressupostos!$E$223/12)*Pressupostos!J$14),(Pressupostos!$I$223-SUM('6. Investimento'!$F98:H98))),0))</f>
        <v>0</v>
      </c>
      <c r="J98" s="74">
        <f>+IF(Pressupostos!K$14=0,0,IF(Pressupostos!$I$223&gt;SUM('6. Investimento'!$F98:I98),MIN(((Pressupostos!$I$223/Pressupostos!$E$223/12)*Pressupostos!K$14),(Pressupostos!$I$223-SUM('6. Investimento'!$F98:I98))),0))</f>
        <v>0</v>
      </c>
      <c r="K98" s="74">
        <f>+IF(Pressupostos!L$14=0,0,IF(Pressupostos!$I$223&gt;SUM('6. Investimento'!$F98:J98),MIN(((Pressupostos!$I$223/Pressupostos!$E$223/12)*Pressupostos!L$14),(Pressupostos!$I$223-SUM('6. Investimento'!$F98:J98))),0))</f>
        <v>0</v>
      </c>
      <c r="L98" s="67"/>
    </row>
    <row r="99" spans="2:12" ht="17.25" customHeight="1" x14ac:dyDescent="0.2">
      <c r="B99" s="34"/>
      <c r="C99" s="342" t="s">
        <v>125</v>
      </c>
      <c r="D99" s="341">
        <v>8</v>
      </c>
      <c r="E99" s="341"/>
      <c r="F99" s="74"/>
      <c r="G99" s="74"/>
      <c r="H99" s="74"/>
      <c r="I99" s="74">
        <f>+IF(Pressupostos!J$14=0,0,IF(Pressupostos!$J$223&gt;SUM('6. Investimento'!$F99:H99),MIN(((Pressupostos!$J$223/Pressupostos!$E$223/12)*Pressupostos!J$14),(Pressupostos!$J$223-SUM('6. Investimento'!$F99:H99))),0))</f>
        <v>0</v>
      </c>
      <c r="J99" s="74">
        <f>+IF(Pressupostos!K$14=0,0,IF(Pressupostos!$J$223&gt;SUM('6. Investimento'!$F99:I99),MIN(((Pressupostos!$J$223/Pressupostos!$E$223/12)*Pressupostos!K$14),(Pressupostos!$J$223-SUM('6. Investimento'!$F99:I99))),0))</f>
        <v>0</v>
      </c>
      <c r="K99" s="74">
        <f>+IF(Pressupostos!L$14=0,0,IF(Pressupostos!$J$223&gt;SUM('6. Investimento'!$F99:J99),MIN(((Pressupostos!$J$223/Pressupostos!$E$223/12)*Pressupostos!L$14),(Pressupostos!$J$223-SUM('6. Investimento'!$F99:J99))),0))</f>
        <v>0</v>
      </c>
      <c r="L99" s="67"/>
    </row>
    <row r="100" spans="2:12" ht="17.25" customHeight="1" x14ac:dyDescent="0.2">
      <c r="B100" s="34"/>
      <c r="C100" s="342" t="s">
        <v>125</v>
      </c>
      <c r="D100" s="341">
        <v>8</v>
      </c>
      <c r="E100" s="341"/>
      <c r="F100" s="74"/>
      <c r="G100" s="74"/>
      <c r="H100" s="74"/>
      <c r="I100" s="74"/>
      <c r="J100" s="74">
        <f>+IF(Pressupostos!K$14=0,0,IF(Pressupostos!$K$223&gt;SUM('6. Investimento'!$F100:I100),MIN(((Pressupostos!$K$223/Pressupostos!$E$223/12)*Pressupostos!K$14),(Pressupostos!$K$223-SUM('6. Investimento'!$F100:I100))),0))</f>
        <v>0</v>
      </c>
      <c r="K100" s="74">
        <f>+IF(Pressupostos!L$14=0,0,IF(Pressupostos!$K$223&gt;SUM('6. Investimento'!$F100:J100),MIN(((Pressupostos!$K$223/Pressupostos!$E$223/12)*Pressupostos!L$14),(Pressupostos!$K$223-SUM('6. Investimento'!$F100:J100))),0))</f>
        <v>0</v>
      </c>
      <c r="L100" s="67"/>
    </row>
    <row r="101" spans="2:12" ht="17.25" customHeight="1" x14ac:dyDescent="0.2">
      <c r="B101" s="34"/>
      <c r="C101" s="342" t="s">
        <v>125</v>
      </c>
      <c r="D101" s="341">
        <v>8</v>
      </c>
      <c r="E101" s="341"/>
      <c r="F101" s="74"/>
      <c r="G101" s="74"/>
      <c r="H101" s="74"/>
      <c r="I101" s="74"/>
      <c r="J101" s="74"/>
      <c r="K101" s="74">
        <f>+IF(Pressupostos!L$14=0,0,IF(Pressupostos!$I$223&gt;SUM('6. Investimento'!$F101:J101),MIN(((Pressupostos!#REF!/Pressupostos!$E$223/12)*Pressupostos!L$14),(Pressupostos!#REF!-SUM('6. Investimento'!$F101:J101))),0))</f>
        <v>0</v>
      </c>
      <c r="L101" s="67"/>
    </row>
    <row r="102" spans="2:12" s="70" customFormat="1" ht="17.25" customHeight="1" x14ac:dyDescent="0.2">
      <c r="B102" s="119" t="s">
        <v>1</v>
      </c>
      <c r="C102" s="337" t="s">
        <v>124</v>
      </c>
      <c r="D102" s="338"/>
      <c r="E102" s="338"/>
      <c r="F102" s="339">
        <f t="shared" ref="F102:K102" si="18">+SUM(F103:F108)</f>
        <v>0</v>
      </c>
      <c r="G102" s="339">
        <f t="shared" si="18"/>
        <v>0</v>
      </c>
      <c r="H102" s="339">
        <f t="shared" si="18"/>
        <v>0</v>
      </c>
      <c r="I102" s="339">
        <f t="shared" si="18"/>
        <v>0</v>
      </c>
      <c r="J102" s="339">
        <f t="shared" si="18"/>
        <v>0</v>
      </c>
      <c r="K102" s="339">
        <f t="shared" si="18"/>
        <v>0</v>
      </c>
      <c r="L102" s="120"/>
    </row>
    <row r="103" spans="2:12" ht="17.25" customHeight="1" x14ac:dyDescent="0.2">
      <c r="B103" s="34"/>
      <c r="C103" s="340" t="s">
        <v>124</v>
      </c>
      <c r="D103" s="341">
        <v>9</v>
      </c>
      <c r="E103" s="341"/>
      <c r="F103" s="74">
        <f>+IF(Pressupostos!G$14=0,0,IF(Pressupostos!$G224&gt;SUM('6. Investimento'!E103:$E103),MIN(((Pressupostos!$G224/Pressupostos!$E224/12)*Pressupostos!G$14),(Pressupostos!$G224-SUM('6. Investimento'!E103:$E103))),0))</f>
        <v>0</v>
      </c>
      <c r="G103" s="74">
        <f>+IF(Pressupostos!H$14=0,0,IF(Pressupostos!$G224&gt;SUM('6. Investimento'!F103:$F103),MIN(((Pressupostos!$G224/Pressupostos!$E224/12)*Pressupostos!H$14),(Pressupostos!$G224-SUM('6. Investimento'!F103:$F103))),0))</f>
        <v>0</v>
      </c>
      <c r="H103" s="74">
        <f>+IF(Pressupostos!I$14=0,0,IF(Pressupostos!$G224&gt;SUM('6. Investimento'!$F103:G103),MIN(((Pressupostos!$G224/Pressupostos!$E224/12)*Pressupostos!I$14),(Pressupostos!$G224-SUM('6. Investimento'!$F103:G103))),0))</f>
        <v>0</v>
      </c>
      <c r="I103" s="74">
        <f>+IF(Pressupostos!J$14=0,0,IF(Pressupostos!$G224&gt;SUM('6. Investimento'!$F103:H103),MIN(((Pressupostos!$G224/Pressupostos!$E224/12)*Pressupostos!J$14),(Pressupostos!$G224-SUM('6. Investimento'!$F103:H103))),0))</f>
        <v>0</v>
      </c>
      <c r="J103" s="74">
        <f>+IF(Pressupostos!K$14=0,0,IF(Pressupostos!$G224&gt;SUM('6. Investimento'!$F103:I103),MIN(((Pressupostos!$G224/Pressupostos!$E224/12)*Pressupostos!K$14),(Pressupostos!$G224-SUM('6. Investimento'!$F103:I103))),0))</f>
        <v>0</v>
      </c>
      <c r="K103" s="74">
        <f>+IF(Pressupostos!L$14=0,0,IF(Pressupostos!$G224&gt;SUM('6. Investimento'!$F103:J103),MIN(((Pressupostos!$G224/Pressupostos!$E224/12)*Pressupostos!L$14),(Pressupostos!$G224-SUM('6. Investimento'!$F103:J103))),0))</f>
        <v>0</v>
      </c>
      <c r="L103" s="67"/>
    </row>
    <row r="104" spans="2:12" ht="17.25" customHeight="1" x14ac:dyDescent="0.2">
      <c r="B104" s="34"/>
      <c r="C104" s="340" t="s">
        <v>124</v>
      </c>
      <c r="D104" s="341">
        <v>9</v>
      </c>
      <c r="E104" s="341"/>
      <c r="F104" s="74"/>
      <c r="G104" s="74">
        <f>+IF(Pressupostos!H$14=0,0,IF(Pressupostos!$H$224&gt;SUM('6. Investimento'!F104:$F104),MIN(((Pressupostos!$H$224/Pressupostos!$E$224/12)*Pressupostos!H$14),(Pressupostos!$H$224-SUM('6. Investimento'!F104:$F104))),0))</f>
        <v>0</v>
      </c>
      <c r="H104" s="74">
        <f>+IF(Pressupostos!I$14=0,0,IF(Pressupostos!$H$224&gt;SUM('6. Investimento'!$F104:G104),MIN(((Pressupostos!$H$224/Pressupostos!$E$224/12)*Pressupostos!I$14),(Pressupostos!$H$224-SUM('6. Investimento'!$F104:G104))),0))</f>
        <v>0</v>
      </c>
      <c r="I104" s="74">
        <f>+IF(Pressupostos!J$14=0,0,IF(Pressupostos!$H$224&gt;SUM('6. Investimento'!$F104:H104),MIN(((Pressupostos!$H$224/Pressupostos!$E$224/12)*Pressupostos!J$14),(Pressupostos!$H$224-SUM('6. Investimento'!$F104:H104))),0))</f>
        <v>0</v>
      </c>
      <c r="J104" s="74">
        <f>+IF(Pressupostos!K$14=0,0,IF(Pressupostos!$H$224&gt;SUM('6. Investimento'!$F104:I104),MIN(((Pressupostos!$H$224/Pressupostos!$E$224/12)*Pressupostos!K$14),(Pressupostos!$H$224-SUM('6. Investimento'!$F104:I104))),0))</f>
        <v>0</v>
      </c>
      <c r="K104" s="74">
        <f>+IF(Pressupostos!L$14=0,0,IF(Pressupostos!$H$224&gt;SUM('6. Investimento'!$F104:J104),MIN(((Pressupostos!$H$224/Pressupostos!$E$224/12)*Pressupostos!L$14),(Pressupostos!$H$224-SUM('6. Investimento'!$F104:J104))),0))</f>
        <v>0</v>
      </c>
      <c r="L104" s="67"/>
    </row>
    <row r="105" spans="2:12" ht="17.25" customHeight="1" x14ac:dyDescent="0.2">
      <c r="B105" s="34"/>
      <c r="C105" s="340" t="s">
        <v>124</v>
      </c>
      <c r="D105" s="341">
        <v>9</v>
      </c>
      <c r="E105" s="341"/>
      <c r="F105" s="74"/>
      <c r="G105" s="74"/>
      <c r="H105" s="74">
        <f>+IF(Pressupostos!I$14=0,0,IF(Pressupostos!$I$224&gt;SUM('6. Investimento'!$F105:G105),MIN(((Pressupostos!$I$224/Pressupostos!$E$224/12)*Pressupostos!I$14),(Pressupostos!$I$224-SUM('6. Investimento'!$F105:G105))),0))</f>
        <v>0</v>
      </c>
      <c r="I105" s="74">
        <f>+IF(Pressupostos!J$14=0,0,IF(Pressupostos!$I$224&gt;SUM('6. Investimento'!$F105:H105),MIN(((Pressupostos!$I$224/Pressupostos!$E$224/12)*Pressupostos!J$14),(Pressupostos!$I$224-SUM('6. Investimento'!$F105:H105))),0))</f>
        <v>0</v>
      </c>
      <c r="J105" s="74">
        <f>+IF(Pressupostos!K$14=0,0,IF(Pressupostos!$I$224&gt;SUM('6. Investimento'!$F105:I105),MIN(((Pressupostos!$I$224/Pressupostos!$E$224/12)*Pressupostos!K$14),(Pressupostos!$I$224-SUM('6. Investimento'!$F105:I105))),0))</f>
        <v>0</v>
      </c>
      <c r="K105" s="74">
        <f>+IF(Pressupostos!L$14=0,0,IF(Pressupostos!$I$224&gt;SUM('6. Investimento'!$F105:J105),MIN(((Pressupostos!$I$224/Pressupostos!$E$224/12)*Pressupostos!L$14),(Pressupostos!$I$224-SUM('6. Investimento'!$F105:J105))),0))</f>
        <v>0</v>
      </c>
      <c r="L105" s="67"/>
    </row>
    <row r="106" spans="2:12" ht="17.25" customHeight="1" x14ac:dyDescent="0.2">
      <c r="B106" s="34"/>
      <c r="C106" s="340" t="s">
        <v>124</v>
      </c>
      <c r="D106" s="341">
        <v>9</v>
      </c>
      <c r="E106" s="341"/>
      <c r="F106" s="74"/>
      <c r="G106" s="74"/>
      <c r="H106" s="74"/>
      <c r="I106" s="74">
        <f>+IF(Pressupostos!J$14=0,0,IF(Pressupostos!$J$224&gt;SUM('6. Investimento'!$F106:H106),MIN(((Pressupostos!$J$224/Pressupostos!$E$224/12)*Pressupostos!J$14),(Pressupostos!$J$224-SUM('6. Investimento'!$F106:H106))),0))</f>
        <v>0</v>
      </c>
      <c r="J106" s="74">
        <f>+IF(Pressupostos!K$14=0,0,IF(Pressupostos!$J$224&gt;SUM('6. Investimento'!$F106:I106),MIN(((Pressupostos!$J$224/Pressupostos!$E$224/12)*Pressupostos!K$14),(Pressupostos!$J$224-SUM('6. Investimento'!$F106:I106))),0))</f>
        <v>0</v>
      </c>
      <c r="K106" s="74">
        <f>+IF(Pressupostos!L$14=0,0,IF(Pressupostos!$J$224&gt;SUM('6. Investimento'!$F106:J106),MIN(((Pressupostos!$J$224/Pressupostos!$E$224/12)*Pressupostos!L$14),(Pressupostos!$J$224-SUM('6. Investimento'!$F106:J106))),0))</f>
        <v>0</v>
      </c>
      <c r="L106" s="67"/>
    </row>
    <row r="107" spans="2:12" ht="17.25" customHeight="1" x14ac:dyDescent="0.2">
      <c r="B107" s="34"/>
      <c r="C107" s="340" t="s">
        <v>124</v>
      </c>
      <c r="D107" s="341">
        <v>9</v>
      </c>
      <c r="E107" s="341"/>
      <c r="F107" s="74"/>
      <c r="G107" s="74"/>
      <c r="H107" s="74"/>
      <c r="I107" s="74"/>
      <c r="J107" s="74">
        <f>+IF(Pressupostos!K$14=0,0,IF(Pressupostos!$K$224&gt;SUM('6. Investimento'!$F107:I107),MIN(((Pressupostos!$K$224/Pressupostos!$E$224/12)*Pressupostos!K$14),(Pressupostos!$K$224-SUM('6. Investimento'!$F107:I107))),0))</f>
        <v>0</v>
      </c>
      <c r="K107" s="74">
        <f>+IF(Pressupostos!L$14=0,0,IF(Pressupostos!$K$224&gt;SUM('6. Investimento'!$F107:J107),MIN(((Pressupostos!$K$224/Pressupostos!$E$224/12)*Pressupostos!L$14),(Pressupostos!$K$224-SUM('6. Investimento'!$F107:J107))),0))</f>
        <v>0</v>
      </c>
      <c r="L107" s="67"/>
    </row>
    <row r="108" spans="2:12" ht="17.25" customHeight="1" x14ac:dyDescent="0.2">
      <c r="B108" s="34"/>
      <c r="C108" s="340" t="s">
        <v>124</v>
      </c>
      <c r="D108" s="341">
        <v>9</v>
      </c>
      <c r="E108" s="341"/>
      <c r="F108" s="74"/>
      <c r="G108" s="74"/>
      <c r="H108" s="74"/>
      <c r="I108" s="74"/>
      <c r="J108" s="74"/>
      <c r="K108" s="74">
        <f>+IF(Pressupostos!L$14=0,0,IF(Pressupostos!$I$224&gt;SUM('6. Investimento'!$F108:J108),MIN(((Pressupostos!#REF!/Pressupostos!$E$224/12)*Pressupostos!L$14),(Pressupostos!#REF!-SUM('6. Investimento'!$F108:J108))),0))</f>
        <v>0</v>
      </c>
      <c r="L108" s="67"/>
    </row>
    <row r="109" spans="2:12" s="70" customFormat="1" ht="17.25" customHeight="1" x14ac:dyDescent="0.2">
      <c r="B109" s="119" t="s">
        <v>1</v>
      </c>
      <c r="C109" s="337" t="s">
        <v>560</v>
      </c>
      <c r="D109" s="338"/>
      <c r="E109" s="338"/>
      <c r="F109" s="339">
        <f t="shared" ref="F109:K109" si="19">+SUM(F110:F115)</f>
        <v>0</v>
      </c>
      <c r="G109" s="339">
        <f t="shared" si="19"/>
        <v>0</v>
      </c>
      <c r="H109" s="339">
        <f t="shared" si="19"/>
        <v>0</v>
      </c>
      <c r="I109" s="339">
        <f t="shared" si="19"/>
        <v>0</v>
      </c>
      <c r="J109" s="339">
        <f t="shared" si="19"/>
        <v>0</v>
      </c>
      <c r="K109" s="339">
        <f t="shared" si="19"/>
        <v>0</v>
      </c>
      <c r="L109" s="120"/>
    </row>
    <row r="110" spans="2:12" ht="17.25" customHeight="1" x14ac:dyDescent="0.2">
      <c r="B110" s="34"/>
      <c r="C110" s="340" t="s">
        <v>560</v>
      </c>
      <c r="D110" s="341">
        <v>10</v>
      </c>
      <c r="E110" s="341"/>
      <c r="F110" s="74">
        <f>+IF(Pressupostos!G$14=0,0,IF(Pressupostos!$G225&gt;SUM('6. Investimento'!E110:$E110),MIN(((Pressupostos!$G225/Pressupostos!$E225/12)*Pressupostos!G$14),(Pressupostos!$G225-SUM('6. Investimento'!E110:$E110))),0))</f>
        <v>0</v>
      </c>
      <c r="G110" s="74">
        <f>+IF(Pressupostos!H$14=0,0,IF(Pressupostos!$G225&gt;SUM('6. Investimento'!$F110:F110),MIN(((Pressupostos!$G225/Pressupostos!$E225/12)*Pressupostos!H$14),(Pressupostos!$G225-SUM('6. Investimento'!$F110:F110))),0))</f>
        <v>0</v>
      </c>
      <c r="H110" s="74">
        <f>+IF(Pressupostos!I$14=0,0,IF(Pressupostos!$G225&gt;SUM('6. Investimento'!$F110:G110),MIN(((Pressupostos!$G225/Pressupostos!$E225/12)*Pressupostos!I$14),(Pressupostos!$G225-SUM('6. Investimento'!$F110:G110))),0))</f>
        <v>0</v>
      </c>
      <c r="I110" s="74">
        <f>+IF(Pressupostos!J$14=0,0,IF(Pressupostos!$G225&gt;SUM('6. Investimento'!$F110:H110),MIN(((Pressupostos!$G225/Pressupostos!$E225/12)*Pressupostos!J$14),(Pressupostos!$G225-SUM('6. Investimento'!$F110:H110))),0))</f>
        <v>0</v>
      </c>
      <c r="J110" s="74">
        <f>+IF(Pressupostos!K$14=0,0,IF(Pressupostos!$G225&gt;SUM('6. Investimento'!$F110:I110),MIN(((Pressupostos!$G225/Pressupostos!$E225/12)*Pressupostos!K$14),(Pressupostos!$G225-SUM('6. Investimento'!$F110:I110))),0))</f>
        <v>0</v>
      </c>
      <c r="K110" s="74">
        <f>+IF(Pressupostos!L$14=0,0,IF(Pressupostos!$G225&gt;SUM('6. Investimento'!$F110:J110),MIN(((Pressupostos!$G225/Pressupostos!$E225/12)*Pressupostos!L$14),(Pressupostos!$G225-SUM('6. Investimento'!$F110:J110))),0))</f>
        <v>0</v>
      </c>
      <c r="L110" s="120"/>
    </row>
    <row r="111" spans="2:12" ht="17.25" customHeight="1" x14ac:dyDescent="0.2">
      <c r="B111" s="34"/>
      <c r="C111" s="340" t="s">
        <v>560</v>
      </c>
      <c r="D111" s="341">
        <v>10</v>
      </c>
      <c r="E111" s="341"/>
      <c r="F111" s="74"/>
      <c r="G111" s="74">
        <f>+IF(Pressupostos!H$14=0,0,IF(Pressupostos!$H$225&gt;SUM('6. Investimento'!F111:$F111),MIN(((Pressupostos!$H$225/Pressupostos!$E$225/12)*Pressupostos!H$14),(Pressupostos!$H$225-SUM('6. Investimento'!F111:$F111))),0))</f>
        <v>0</v>
      </c>
      <c r="H111" s="74">
        <f>+IF(Pressupostos!I$14=0,0,IF(Pressupostos!$H$225&gt;SUM('6. Investimento'!$F111:G111),MIN(((Pressupostos!$H$225/Pressupostos!$E$225/12)*Pressupostos!I$14),(Pressupostos!$H$225-SUM('6. Investimento'!$F111:G111))),0))</f>
        <v>0</v>
      </c>
      <c r="I111" s="74">
        <f>+IF(Pressupostos!J$14=0,0,IF(Pressupostos!$H$225&gt;SUM('6. Investimento'!$F111:H111),MIN(((Pressupostos!$H$225/Pressupostos!$E$225/12)*Pressupostos!J$14),(Pressupostos!$H$225-SUM('6. Investimento'!$F111:H111))),0))</f>
        <v>0</v>
      </c>
      <c r="J111" s="74">
        <f>+IF(Pressupostos!K$14=0,0,IF(Pressupostos!$H$225&gt;SUM('6. Investimento'!$F111:I111),MIN(((Pressupostos!$H$225/Pressupostos!$E$225/12)*Pressupostos!K$14),(Pressupostos!$H$225-SUM('6. Investimento'!$F111:I111))),0))</f>
        <v>0</v>
      </c>
      <c r="K111" s="74">
        <f>+IF(Pressupostos!L$14=0,0,IF(Pressupostos!$H$225&gt;SUM('6. Investimento'!$F111:J111),MIN(((Pressupostos!$H$225/Pressupostos!$E$225/12)*Pressupostos!L$14),(Pressupostos!$H$225-SUM('6. Investimento'!$F111:J111))),0))</f>
        <v>0</v>
      </c>
      <c r="L111" s="120"/>
    </row>
    <row r="112" spans="2:12" ht="17.25" customHeight="1" x14ac:dyDescent="0.2">
      <c r="B112" s="34"/>
      <c r="C112" s="340" t="s">
        <v>560</v>
      </c>
      <c r="D112" s="341">
        <v>10</v>
      </c>
      <c r="E112" s="341"/>
      <c r="F112" s="74"/>
      <c r="G112" s="74"/>
      <c r="H112" s="74">
        <f>+IF(Pressupostos!I$14=0,0,IF(Pressupostos!$I$225&gt;SUM('6. Investimento'!$F112:G112),MIN(((Pressupostos!$I$225/Pressupostos!$E$225/12)*Pressupostos!I$14),(Pressupostos!$I$225-SUM('6. Investimento'!$F112:G112))),0))</f>
        <v>0</v>
      </c>
      <c r="I112" s="74">
        <f>+IF(Pressupostos!J$14=0,0,IF(Pressupostos!$I$225&gt;SUM('6. Investimento'!$F112:H112),MIN(((Pressupostos!$I$225/Pressupostos!$E$225/12)*Pressupostos!J$14),(Pressupostos!$I$225-SUM('6. Investimento'!$F112:H112))),0))</f>
        <v>0</v>
      </c>
      <c r="J112" s="74">
        <f>+IF(Pressupostos!K$14=0,0,IF(Pressupostos!$I$225&gt;SUM('6. Investimento'!$F112:I112),MIN(((Pressupostos!$I$225/Pressupostos!$E$225/12)*Pressupostos!K$14),(Pressupostos!$I$225-SUM('6. Investimento'!$F112:I112))),0))</f>
        <v>0</v>
      </c>
      <c r="K112" s="74">
        <f>+IF(Pressupostos!L$14=0,0,IF(Pressupostos!$I$225&gt;SUM('6. Investimento'!$F112:J112),MIN(((Pressupostos!$I$225/Pressupostos!$E$225/12)*Pressupostos!L$14),(Pressupostos!$I$225-SUM('6. Investimento'!$F112:J112))),0))</f>
        <v>0</v>
      </c>
      <c r="L112" s="67"/>
    </row>
    <row r="113" spans="2:14" ht="17.25" customHeight="1" x14ac:dyDescent="0.2">
      <c r="B113" s="34"/>
      <c r="C113" s="340" t="s">
        <v>560</v>
      </c>
      <c r="D113" s="341">
        <v>10</v>
      </c>
      <c r="E113" s="341"/>
      <c r="F113" s="74"/>
      <c r="G113" s="74"/>
      <c r="H113" s="74"/>
      <c r="I113" s="74">
        <f>+IF(Pressupostos!J$14=0,0,IF(Pressupostos!$J$225&gt;SUM('6. Investimento'!$F113:H113),MIN(((Pressupostos!$J$225/Pressupostos!$E$225/12)*Pressupostos!J$14),(Pressupostos!$J$225-SUM('6. Investimento'!$F113:H113))),0))</f>
        <v>0</v>
      </c>
      <c r="J113" s="74">
        <f>+IF(Pressupostos!K$14=0,0,IF(Pressupostos!$J$225&gt;SUM('6. Investimento'!$F113:I113),MIN(((Pressupostos!$J$225/Pressupostos!$E$225/12)*Pressupostos!K$14),(Pressupostos!$J$225-SUM('6. Investimento'!$F113:I113))),0))</f>
        <v>0</v>
      </c>
      <c r="K113" s="74">
        <f>+IF(Pressupostos!L$14=0,0,IF(Pressupostos!$J$225&gt;SUM('6. Investimento'!$F113:J113),MIN(((Pressupostos!$J$225/Pressupostos!$E$225/12)*Pressupostos!L$14),(Pressupostos!$J$225-SUM('6. Investimento'!$F113:J113))),0))</f>
        <v>0</v>
      </c>
      <c r="L113" s="67"/>
    </row>
    <row r="114" spans="2:14" ht="17.25" customHeight="1" x14ac:dyDescent="0.2">
      <c r="B114" s="34"/>
      <c r="C114" s="340" t="s">
        <v>560</v>
      </c>
      <c r="D114" s="341">
        <v>10</v>
      </c>
      <c r="E114" s="341"/>
      <c r="F114" s="74"/>
      <c r="G114" s="74"/>
      <c r="H114" s="74"/>
      <c r="I114" s="74"/>
      <c r="J114" s="74">
        <f>+IF(Pressupostos!K$14=0,0,IF(Pressupostos!$K$225&gt;SUM('6. Investimento'!$F114:I114),MIN(((Pressupostos!$K$225/Pressupostos!$E$225/12)*Pressupostos!K$14),(Pressupostos!$K$225-SUM('6. Investimento'!$F114:I114))),0))</f>
        <v>0</v>
      </c>
      <c r="K114" s="74">
        <f>+IF(Pressupostos!L$14=0,0,IF(Pressupostos!$K$225&gt;SUM('6. Investimento'!$F114:J114),MIN(((Pressupostos!$K$225/Pressupostos!$E$225/12)*Pressupostos!L$14),(Pressupostos!$K$225-SUM('6. Investimento'!$F114:J114))),0))</f>
        <v>0</v>
      </c>
      <c r="L114" s="67"/>
      <c r="M114" s="665">
        <f>+IF(Pressupostos!N$14=0,0,IF(Pressupostos!$I$225&gt;SUM('6. Investimento'!$F114:L114),MIN(((Pressupostos!$I$225/Pressupostos!$E$225/12)*Pressupostos!N$14),(Pressupostos!$I$225-SUM('6. Investimento'!$F114:L114))),0))</f>
        <v>0</v>
      </c>
    </row>
    <row r="115" spans="2:14" ht="17.25" customHeight="1" x14ac:dyDescent="0.2">
      <c r="B115" s="34"/>
      <c r="C115" s="340" t="s">
        <v>560</v>
      </c>
      <c r="D115" s="341">
        <v>10</v>
      </c>
      <c r="E115" s="341"/>
      <c r="F115" s="74"/>
      <c r="G115" s="74"/>
      <c r="H115" s="74"/>
      <c r="I115" s="74"/>
      <c r="J115" s="74"/>
      <c r="K115" s="74">
        <f>+IF(Pressupostos!L$14=0,0,IF(Pressupostos!$K$225&gt;SUM('6. Investimento'!$F115:J115),MIN(((Pressupostos!$K$225/Pressupostos!$E$225/12)*Pressupostos!L$14),(Pressupostos!$K$225-SUM('6. Investimento'!$F115:J115))),0))</f>
        <v>0</v>
      </c>
      <c r="L115" s="67"/>
      <c r="M115" s="665">
        <f>+IF(Pressupostos!N$14=0,0,IF(Pressupostos!$I$225&gt;SUM('6. Investimento'!$F115:L115),MIN(((Pressupostos!$I$225/Pressupostos!$E$225/12)*Pressupostos!N$14),(Pressupostos!$I$225-SUM('6. Investimento'!$F115:L115))),0))</f>
        <v>0</v>
      </c>
      <c r="N115" s="665">
        <f>+IF(Pressupostos!O$14=0,0,IF(Pressupostos!$I$225&gt;SUM('6. Investimento'!$F115:M115),MIN(((Pressupostos!$I$225/Pressupostos!$E$225/12)*Pressupostos!O$14),(Pressupostos!$I$225-SUM('6. Investimento'!$F115:M115))),0))</f>
        <v>0</v>
      </c>
    </row>
    <row r="116" spans="2:14" s="112" customFormat="1" ht="12.75" x14ac:dyDescent="0.2">
      <c r="C116" s="113"/>
      <c r="D116" s="114"/>
      <c r="E116" s="114"/>
      <c r="F116" s="115"/>
      <c r="G116" s="115"/>
      <c r="H116" s="115"/>
      <c r="I116" s="115"/>
      <c r="J116" s="115"/>
      <c r="K116" s="115"/>
      <c r="L116" s="116"/>
    </row>
    <row r="117" spans="2:14" ht="17.25" hidden="1" customHeight="1" x14ac:dyDescent="0.2">
      <c r="B117" s="34"/>
      <c r="C117" s="218" t="s">
        <v>234</v>
      </c>
      <c r="D117" s="219" t="s">
        <v>37</v>
      </c>
      <c r="E117" s="219"/>
      <c r="F117" s="220">
        <f>+SUM(F118:F128)</f>
        <v>0</v>
      </c>
      <c r="G117" s="220">
        <f t="shared" ref="G117:K117" si="20">+SUM(G118:G128)</f>
        <v>0</v>
      </c>
      <c r="H117" s="220">
        <f t="shared" si="20"/>
        <v>0</v>
      </c>
      <c r="I117" s="220">
        <f t="shared" si="20"/>
        <v>0</v>
      </c>
      <c r="J117" s="220">
        <f t="shared" si="20"/>
        <v>0</v>
      </c>
      <c r="K117" s="220">
        <f t="shared" si="20"/>
        <v>0</v>
      </c>
    </row>
    <row r="118" spans="2:14" ht="17.25" hidden="1" customHeight="1" x14ac:dyDescent="0.2">
      <c r="B118" s="34"/>
      <c r="C118" s="205" t="s">
        <v>197</v>
      </c>
      <c r="D118" s="221">
        <f>+Pressupostos!E214</f>
        <v>0</v>
      </c>
      <c r="E118" s="341"/>
      <c r="F118" s="222" t="str">
        <f>+IFERROR(Pressupostos!G214/$D$118,"")</f>
        <v/>
      </c>
      <c r="G118" s="222" t="str">
        <f>+IFERROR(Pressupostos!H214/$D$118,"")</f>
        <v/>
      </c>
      <c r="H118" s="222" t="str">
        <f>+IFERROR(Pressupostos!I214/$D$118,"")</f>
        <v/>
      </c>
      <c r="I118" s="222" t="str">
        <f>+IFERROR(Pressupostos!J214/$D$118,"")</f>
        <v/>
      </c>
      <c r="J118" s="222" t="str">
        <f>+IFERROR(Pressupostos!K214/$D$118,"")</f>
        <v/>
      </c>
      <c r="K118" s="222" t="str">
        <f>+IFERROR(Pressupostos!L214/$D$118,"")</f>
        <v/>
      </c>
      <c r="L118" s="67"/>
    </row>
    <row r="119" spans="2:14" ht="17.25" hidden="1" customHeight="1" x14ac:dyDescent="0.2">
      <c r="B119" s="34"/>
      <c r="C119" s="205" t="s">
        <v>19</v>
      </c>
      <c r="D119" s="221">
        <f>+Pressupostos!E215</f>
        <v>0</v>
      </c>
      <c r="E119" s="341"/>
      <c r="F119" s="222" t="str">
        <f>+IFERROR(Pressupostos!G215/$D$119,"")</f>
        <v/>
      </c>
      <c r="G119" s="222" t="str">
        <f>+IFERROR(Pressupostos!H215/$D$119,"")</f>
        <v/>
      </c>
      <c r="H119" s="222" t="str">
        <f>+IFERROR(Pressupostos!I215/$D$119,"")</f>
        <v/>
      </c>
      <c r="I119" s="222" t="str">
        <f>+IFERROR(Pressupostos!J215/$D$119,"")</f>
        <v/>
      </c>
      <c r="J119" s="222" t="str">
        <f>+IFERROR(Pressupostos!K215/$D$119,"")</f>
        <v/>
      </c>
      <c r="K119" s="222" t="str">
        <f>+IFERROR(Pressupostos!L215/$D$119,"")</f>
        <v/>
      </c>
      <c r="L119" s="67"/>
    </row>
    <row r="120" spans="2:14" ht="17.25" hidden="1" customHeight="1" x14ac:dyDescent="0.2">
      <c r="B120" s="34"/>
      <c r="C120" s="205" t="s">
        <v>361</v>
      </c>
      <c r="D120" s="221">
        <f>+Pressupostos!E216</f>
        <v>0</v>
      </c>
      <c r="E120" s="341"/>
      <c r="F120" s="222" t="str">
        <f>+IFERROR(Pressupostos!G216/$D$120,"")</f>
        <v/>
      </c>
      <c r="G120" s="222" t="str">
        <f>+IFERROR(Pressupostos!H216/$D$120,"")</f>
        <v/>
      </c>
      <c r="H120" s="222" t="str">
        <f>+IFERROR(Pressupostos!I216/$D$120,"")</f>
        <v/>
      </c>
      <c r="I120" s="222" t="str">
        <f>+IFERROR(Pressupostos!J216/$D$120,"")</f>
        <v/>
      </c>
      <c r="J120" s="222" t="str">
        <f>+IFERROR(Pressupostos!K216/$D$120,"")</f>
        <v/>
      </c>
      <c r="K120" s="222" t="str">
        <f>+IFERROR(Pressupostos!L216/$D$120,"")</f>
        <v/>
      </c>
      <c r="L120" s="67"/>
    </row>
    <row r="121" spans="2:14" ht="17.25" hidden="1" customHeight="1" x14ac:dyDescent="0.2">
      <c r="B121" s="34"/>
      <c r="C121" s="205" t="s">
        <v>38</v>
      </c>
      <c r="D121" s="221">
        <f>+Pressupostos!E217</f>
        <v>0</v>
      </c>
      <c r="E121" s="341"/>
      <c r="F121" s="222" t="str">
        <f>+IFERROR(Pressupostos!G217/$D$121,"")</f>
        <v/>
      </c>
      <c r="G121" s="222" t="str">
        <f>+IFERROR(Pressupostos!H217/$D$121,"")</f>
        <v/>
      </c>
      <c r="H121" s="222" t="str">
        <f>+IFERROR(Pressupostos!I217/$D$121,"")</f>
        <v/>
      </c>
      <c r="I121" s="222" t="str">
        <f>+IFERROR(Pressupostos!J217/$D$121,"")</f>
        <v/>
      </c>
      <c r="J121" s="222" t="str">
        <f>+IFERROR(Pressupostos!K217/$D$121,"")</f>
        <v/>
      </c>
      <c r="K121" s="222" t="str">
        <f>+IFERROR(Pressupostos!L217/$D$121,"")</f>
        <v/>
      </c>
      <c r="L121" s="67"/>
    </row>
    <row r="122" spans="2:14" ht="17.25" hidden="1" customHeight="1" x14ac:dyDescent="0.2">
      <c r="B122" s="34"/>
      <c r="C122" s="205" t="s">
        <v>40</v>
      </c>
      <c r="D122" s="221">
        <f>+Pressupostos!E218</f>
        <v>0</v>
      </c>
      <c r="E122" s="341"/>
      <c r="F122" s="222" t="str">
        <f>+IFERROR(Pressupostos!G218/$D$122,"")</f>
        <v/>
      </c>
      <c r="G122" s="222" t="str">
        <f>+IFERROR(Pressupostos!H218/$D$122,"")</f>
        <v/>
      </c>
      <c r="H122" s="222" t="str">
        <f>+IFERROR(Pressupostos!I218/$D$122,"")</f>
        <v/>
      </c>
      <c r="I122" s="222" t="str">
        <f>+IFERROR(Pressupostos!J218/$D$122,"")</f>
        <v/>
      </c>
      <c r="J122" s="222" t="str">
        <f>+IFERROR(Pressupostos!K218/$D$122,"")</f>
        <v/>
      </c>
      <c r="K122" s="222" t="str">
        <f>+IFERROR(Pressupostos!L218/$D$122,"")</f>
        <v/>
      </c>
      <c r="L122" s="67"/>
    </row>
    <row r="123" spans="2:14" ht="17.25" hidden="1" customHeight="1" x14ac:dyDescent="0.2">
      <c r="B123" s="34"/>
      <c r="C123" s="205" t="s">
        <v>39</v>
      </c>
      <c r="D123" s="221">
        <f>+Pressupostos!E219</f>
        <v>0</v>
      </c>
      <c r="E123" s="341"/>
      <c r="F123" s="222" t="str">
        <f>+IFERROR(Pressupostos!G219/$D$123,"")</f>
        <v/>
      </c>
      <c r="G123" s="222" t="str">
        <f>+IFERROR(Pressupostos!H219/$D$123,"")</f>
        <v/>
      </c>
      <c r="H123" s="222" t="str">
        <f>+IFERROR(Pressupostos!I219/$D$123,"")</f>
        <v/>
      </c>
      <c r="I123" s="222" t="str">
        <f>+IFERROR(Pressupostos!J219/$D$123,"")</f>
        <v/>
      </c>
      <c r="J123" s="222" t="str">
        <f>+IFERROR(Pressupostos!K219/$D$123,"")</f>
        <v/>
      </c>
      <c r="K123" s="222" t="str">
        <f>+IFERROR(Pressupostos!L219/$D$123,"")</f>
        <v/>
      </c>
      <c r="L123" s="67"/>
    </row>
    <row r="124" spans="2:14" ht="17.25" hidden="1" customHeight="1" x14ac:dyDescent="0.2">
      <c r="B124" s="56"/>
      <c r="C124" s="205" t="s">
        <v>561</v>
      </c>
      <c r="D124" s="221">
        <f>+Pressupostos!E220</f>
        <v>0</v>
      </c>
      <c r="E124" s="341"/>
      <c r="F124" s="222" t="str">
        <f>+IFERROR(Pressupostos!G220/$D$124,"")</f>
        <v/>
      </c>
      <c r="G124" s="222" t="str">
        <f>+IFERROR(Pressupostos!H220/$D$124,"")</f>
        <v/>
      </c>
      <c r="H124" s="222" t="str">
        <f>+IFERROR(Pressupostos!I220/$D$124,"")</f>
        <v/>
      </c>
      <c r="I124" s="222" t="str">
        <f>+IFERROR(Pressupostos!J220/$D$124,"")</f>
        <v/>
      </c>
      <c r="J124" s="222" t="str">
        <f>+IFERROR(Pressupostos!K220/$D$124,"")</f>
        <v/>
      </c>
      <c r="K124" s="222" t="str">
        <f>+IFERROR(Pressupostos!L220/$D$124,"")</f>
        <v/>
      </c>
      <c r="L124" s="67"/>
    </row>
    <row r="125" spans="2:14" ht="17.25" hidden="1" customHeight="1" x14ac:dyDescent="0.2">
      <c r="B125" s="34"/>
      <c r="C125" s="205" t="s">
        <v>41</v>
      </c>
      <c r="D125" s="221">
        <f>+Pressupostos!E222</f>
        <v>0</v>
      </c>
      <c r="E125" s="341"/>
      <c r="F125" s="222" t="str">
        <f>+IFERROR(Pressupostos!G222/$D$125,"")</f>
        <v/>
      </c>
      <c r="G125" s="222" t="str">
        <f>+IFERROR(Pressupostos!H222/$D$125,"")</f>
        <v/>
      </c>
      <c r="H125" s="222" t="str">
        <f>+IFERROR(Pressupostos!I222/$D$125,"")</f>
        <v/>
      </c>
      <c r="I125" s="222" t="str">
        <f>+IFERROR(Pressupostos!J222/$D$125,"")</f>
        <v/>
      </c>
      <c r="J125" s="222" t="str">
        <f>+IFERROR(Pressupostos!K222/$D$125,"")</f>
        <v/>
      </c>
      <c r="K125" s="222" t="str">
        <f>+IFERROR(Pressupostos!L222/$D$125,"")</f>
        <v/>
      </c>
      <c r="L125" s="67"/>
    </row>
    <row r="126" spans="2:14" ht="17.25" hidden="1" customHeight="1" x14ac:dyDescent="0.2">
      <c r="B126" s="34"/>
      <c r="C126" s="205" t="s">
        <v>125</v>
      </c>
      <c r="D126" s="221">
        <f>+Pressupostos!E223</f>
        <v>0</v>
      </c>
      <c r="E126" s="341"/>
      <c r="F126" s="222" t="str">
        <f>+IFERROR(Pressupostos!G223/$D$126,"")</f>
        <v/>
      </c>
      <c r="G126" s="222" t="str">
        <f>+IFERROR(Pressupostos!H223/$D$126,"")</f>
        <v/>
      </c>
      <c r="H126" s="222" t="str">
        <f>+IFERROR(Pressupostos!I223/$D$126,"")</f>
        <v/>
      </c>
      <c r="I126" s="222" t="str">
        <f>+IFERROR(Pressupostos!J223/$D$126,"")</f>
        <v/>
      </c>
      <c r="J126" s="222" t="str">
        <f>+IFERROR(Pressupostos!K223/$D$126,"")</f>
        <v/>
      </c>
      <c r="K126" s="222" t="str">
        <f>+IFERROR(Pressupostos!L223/$D$126,"")</f>
        <v/>
      </c>
      <c r="L126" s="67"/>
    </row>
    <row r="127" spans="2:14" ht="17.25" hidden="1" customHeight="1" x14ac:dyDescent="0.2">
      <c r="B127" s="34"/>
      <c r="C127" s="205" t="s">
        <v>124</v>
      </c>
      <c r="D127" s="221">
        <f>+Pressupostos!E224</f>
        <v>0</v>
      </c>
      <c r="E127" s="341"/>
      <c r="F127" s="222" t="str">
        <f>+IFERROR(Pressupostos!G224/$D$127,"")</f>
        <v/>
      </c>
      <c r="G127" s="222" t="str">
        <f>+IFERROR(Pressupostos!H224/$D$127,"")</f>
        <v/>
      </c>
      <c r="H127" s="222" t="str">
        <f>+IFERROR(Pressupostos!I224/$D$127,"")</f>
        <v/>
      </c>
      <c r="I127" s="222" t="str">
        <f>+IFERROR(Pressupostos!J224/$D$127,"")</f>
        <v/>
      </c>
      <c r="J127" s="222" t="str">
        <f>+IFERROR(Pressupostos!K224/$D$127,"")</f>
        <v/>
      </c>
      <c r="K127" s="222" t="str">
        <f>+IFERROR(Pressupostos!L224/$D$127,"")</f>
        <v/>
      </c>
      <c r="L127" s="67"/>
    </row>
    <row r="128" spans="2:14" ht="17.25" hidden="1" customHeight="1" x14ac:dyDescent="0.2">
      <c r="B128" s="34"/>
      <c r="C128" s="205" t="s">
        <v>560</v>
      </c>
      <c r="D128" s="221">
        <v>4</v>
      </c>
      <c r="E128" s="341"/>
      <c r="F128" s="222">
        <f>+IFERROR(Pressupostos!G225/$D$128,"")</f>
        <v>0</v>
      </c>
      <c r="G128" s="222">
        <f>+IFERROR(Pressupostos!H225/$D$128,"")</f>
        <v>0</v>
      </c>
      <c r="H128" s="222">
        <f>+IFERROR(Pressupostos!I225/$D$128,"")</f>
        <v>0</v>
      </c>
      <c r="I128" s="222">
        <f>+IFERROR(Pressupostos!J225/$D$128,"")</f>
        <v>0</v>
      </c>
      <c r="J128" s="222">
        <f>+IFERROR(Pressupostos!K225/$D$128,"")</f>
        <v>0</v>
      </c>
      <c r="K128" s="222">
        <f>+IFERROR(Pressupostos!L225/$D$128,"")</f>
        <v>0</v>
      </c>
      <c r="L128" s="67"/>
    </row>
    <row r="129" spans="2:12" s="112" customFormat="1" ht="12.75" hidden="1" x14ac:dyDescent="0.2">
      <c r="B129" s="123"/>
      <c r="C129" s="124"/>
      <c r="D129" s="124"/>
      <c r="E129" s="114"/>
      <c r="F129" s="115"/>
      <c r="G129" s="115"/>
      <c r="H129" s="115"/>
      <c r="I129" s="115"/>
      <c r="J129" s="115"/>
      <c r="K129" s="115"/>
      <c r="L129" s="116"/>
    </row>
    <row r="130" spans="2:12" s="112" customFormat="1" ht="12.75" x14ac:dyDescent="0.2">
      <c r="C130" s="121"/>
      <c r="D130" s="121"/>
      <c r="E130" s="114"/>
      <c r="F130" s="122"/>
      <c r="G130" s="122"/>
      <c r="H130" s="122"/>
      <c r="I130" s="122"/>
      <c r="J130" s="122"/>
      <c r="K130" s="122"/>
      <c r="L130" s="116"/>
    </row>
    <row r="131" spans="2:12" customFormat="1" ht="15" x14ac:dyDescent="0.25">
      <c r="B131" s="21"/>
      <c r="C131" s="684" t="s">
        <v>660</v>
      </c>
      <c r="D131" s="685"/>
      <c r="E131" s="7"/>
    </row>
    <row r="132" spans="2:12" customFormat="1" ht="15" x14ac:dyDescent="0.25">
      <c r="B132" s="21"/>
      <c r="D132" s="685"/>
      <c r="E132" s="7"/>
    </row>
    <row r="133" spans="2:12" customFormat="1" ht="15" x14ac:dyDescent="0.25">
      <c r="B133" s="21"/>
      <c r="D133" s="685"/>
      <c r="E133" s="7"/>
    </row>
    <row r="134" spans="2:12" customFormat="1" ht="15" x14ac:dyDescent="0.25">
      <c r="B134" s="21"/>
      <c r="D134" s="685"/>
      <c r="E134" s="7"/>
    </row>
    <row r="135" spans="2:12" customFormat="1" ht="15" x14ac:dyDescent="0.25">
      <c r="B135" s="21"/>
      <c r="D135" s="685"/>
      <c r="E135" s="7"/>
    </row>
    <row r="136" spans="2:12" s="112" customFormat="1" ht="12.75" x14ac:dyDescent="0.2">
      <c r="C136" s="121"/>
      <c r="D136" s="121"/>
      <c r="E136" s="114"/>
      <c r="F136" s="115"/>
      <c r="G136" s="115"/>
      <c r="H136" s="115"/>
      <c r="I136" s="115"/>
      <c r="J136" s="115"/>
      <c r="K136" s="115"/>
      <c r="L136" s="116"/>
    </row>
    <row r="137" spans="2:12" s="112" customFormat="1" ht="12.75" x14ac:dyDescent="0.2">
      <c r="C137" s="121"/>
      <c r="D137" s="121"/>
      <c r="E137" s="114"/>
      <c r="F137" s="122"/>
      <c r="G137" s="122"/>
      <c r="H137" s="122"/>
      <c r="I137" s="122"/>
      <c r="J137" s="122"/>
      <c r="K137" s="122"/>
      <c r="L137" s="116"/>
    </row>
    <row r="138" spans="2:12" s="112" customFormat="1" ht="12.75" x14ac:dyDescent="0.2">
      <c r="C138" s="121"/>
      <c r="D138" s="121"/>
      <c r="E138" s="114"/>
      <c r="F138" s="122"/>
      <c r="G138" s="122"/>
      <c r="H138" s="122"/>
      <c r="I138" s="122"/>
      <c r="J138" s="122"/>
      <c r="K138" s="122"/>
      <c r="L138" s="116"/>
    </row>
    <row r="139" spans="2:12" s="112" customFormat="1" ht="16.5" customHeight="1" x14ac:dyDescent="0.2">
      <c r="E139" s="125"/>
    </row>
    <row r="140" spans="2:12" s="112" customFormat="1" ht="16.5" customHeight="1" x14ac:dyDescent="0.2">
      <c r="E140" s="125"/>
    </row>
    <row r="141" spans="2:12" s="112" customFormat="1" ht="16.5" customHeight="1" x14ac:dyDescent="0.2">
      <c r="E141" s="125"/>
    </row>
    <row r="142" spans="2:12" s="112" customFormat="1" ht="16.5" customHeight="1" x14ac:dyDescent="0.2">
      <c r="E142" s="125"/>
    </row>
    <row r="143" spans="2:12" s="112" customFormat="1" ht="16.5" customHeight="1" x14ac:dyDescent="0.2">
      <c r="E143" s="125"/>
    </row>
    <row r="144" spans="2:12" s="112" customFormat="1" ht="16.5" customHeight="1" x14ac:dyDescent="0.2">
      <c r="E144" s="125"/>
    </row>
    <row r="145" spans="5:5" s="112" customFormat="1" ht="16.5" customHeight="1" x14ac:dyDescent="0.2">
      <c r="E145" s="125"/>
    </row>
    <row r="146" spans="5:5" s="112" customFormat="1" ht="16.5" customHeight="1" x14ac:dyDescent="0.2">
      <c r="E146" s="125"/>
    </row>
    <row r="147" spans="5:5" s="112" customFormat="1" ht="16.5" customHeight="1" x14ac:dyDescent="0.2">
      <c r="E147" s="125"/>
    </row>
    <row r="148" spans="5:5" s="112" customFormat="1" ht="16.5" customHeight="1" x14ac:dyDescent="0.2">
      <c r="E148" s="125"/>
    </row>
    <row r="149" spans="5:5" s="112" customFormat="1" ht="16.5" customHeight="1" x14ac:dyDescent="0.2">
      <c r="E149" s="125"/>
    </row>
    <row r="150" spans="5:5" s="112" customFormat="1" ht="16.5" customHeight="1" x14ac:dyDescent="0.2">
      <c r="E150" s="125"/>
    </row>
    <row r="151" spans="5:5" s="112" customFormat="1" ht="16.5" customHeight="1" x14ac:dyDescent="0.2">
      <c r="E151" s="125"/>
    </row>
    <row r="152" spans="5:5" s="112" customFormat="1" ht="16.5" customHeight="1" x14ac:dyDescent="0.2">
      <c r="E152" s="125"/>
    </row>
    <row r="153" spans="5:5" s="112" customFormat="1" ht="16.5" customHeight="1" x14ac:dyDescent="0.2">
      <c r="E153" s="125"/>
    </row>
    <row r="154" spans="5:5" s="112" customFormat="1" ht="16.5" customHeight="1" x14ac:dyDescent="0.2">
      <c r="E154" s="125"/>
    </row>
    <row r="155" spans="5:5" s="112" customFormat="1" ht="16.5" customHeight="1" x14ac:dyDescent="0.2">
      <c r="E155" s="125"/>
    </row>
    <row r="156" spans="5:5" s="112" customFormat="1" ht="16.5" customHeight="1" x14ac:dyDescent="0.2">
      <c r="E156" s="125"/>
    </row>
    <row r="157" spans="5:5" s="112" customFormat="1" ht="16.5" customHeight="1" x14ac:dyDescent="0.2">
      <c r="E157" s="125"/>
    </row>
    <row r="158" spans="5:5" s="112" customFormat="1" ht="16.5" customHeight="1" x14ac:dyDescent="0.2">
      <c r="E158" s="125"/>
    </row>
    <row r="159" spans="5:5" s="112" customFormat="1" ht="16.5" customHeight="1" x14ac:dyDescent="0.2">
      <c r="E159" s="125"/>
    </row>
    <row r="160" spans="5:5" s="112" customFormat="1" ht="16.5" customHeight="1" x14ac:dyDescent="0.2">
      <c r="E160" s="125"/>
    </row>
    <row r="161" spans="5:5" s="112" customFormat="1" ht="16.5" customHeight="1" x14ac:dyDescent="0.2">
      <c r="E161" s="125"/>
    </row>
    <row r="162" spans="5:5" s="112" customFormat="1" ht="16.5" customHeight="1" x14ac:dyDescent="0.2">
      <c r="E162" s="125"/>
    </row>
    <row r="163" spans="5:5" s="112" customFormat="1" ht="16.5" customHeight="1" x14ac:dyDescent="0.2">
      <c r="E163" s="125"/>
    </row>
    <row r="164" spans="5:5" s="112" customFormat="1" ht="16.5" customHeight="1" x14ac:dyDescent="0.2">
      <c r="E164" s="125"/>
    </row>
    <row r="165" spans="5:5" s="112" customFormat="1" ht="16.5" customHeight="1" x14ac:dyDescent="0.2">
      <c r="E165" s="125"/>
    </row>
    <row r="166" spans="5:5" s="112" customFormat="1" ht="16.5" customHeight="1" x14ac:dyDescent="0.2">
      <c r="E166" s="125"/>
    </row>
    <row r="167" spans="5:5" s="112" customFormat="1" ht="16.5" customHeight="1" x14ac:dyDescent="0.2">
      <c r="E167" s="125"/>
    </row>
    <row r="168" spans="5:5" s="112" customFormat="1" ht="16.5" customHeight="1" x14ac:dyDescent="0.2">
      <c r="E168" s="125"/>
    </row>
    <row r="169" spans="5:5" s="112" customFormat="1" ht="16.5" customHeight="1" x14ac:dyDescent="0.2">
      <c r="E169" s="125"/>
    </row>
    <row r="170" spans="5:5" s="112" customFormat="1" ht="16.5" customHeight="1" x14ac:dyDescent="0.2">
      <c r="E170" s="125"/>
    </row>
    <row r="171" spans="5:5" s="112" customFormat="1" ht="16.5" customHeight="1" x14ac:dyDescent="0.2">
      <c r="E171" s="125"/>
    </row>
    <row r="172" spans="5:5" s="112" customFormat="1" ht="16.5" customHeight="1" x14ac:dyDescent="0.2">
      <c r="E172" s="125"/>
    </row>
    <row r="173" spans="5:5" s="112" customFormat="1" ht="16.5" customHeight="1" x14ac:dyDescent="0.2">
      <c r="E173" s="125"/>
    </row>
    <row r="174" spans="5:5" s="112" customFormat="1" ht="16.5" customHeight="1" x14ac:dyDescent="0.2">
      <c r="E174" s="125"/>
    </row>
    <row r="175" spans="5:5" s="112" customFormat="1" ht="16.5" customHeight="1" x14ac:dyDescent="0.2">
      <c r="E175" s="125"/>
    </row>
    <row r="176" spans="5:5" s="112" customFormat="1" ht="16.5" customHeight="1" x14ac:dyDescent="0.2">
      <c r="E176" s="125"/>
    </row>
    <row r="177" spans="3:11" s="112" customFormat="1" ht="16.5" customHeight="1" x14ac:dyDescent="0.2">
      <c r="E177" s="125"/>
    </row>
    <row r="178" spans="3:11" s="112" customFormat="1" ht="16.5" customHeight="1" x14ac:dyDescent="0.2">
      <c r="E178" s="125"/>
    </row>
    <row r="179" spans="3:11" s="112" customFormat="1" ht="16.5" customHeight="1" x14ac:dyDescent="0.2">
      <c r="E179" s="125"/>
    </row>
    <row r="180" spans="3:11" s="112" customFormat="1" ht="16.5" customHeight="1" x14ac:dyDescent="0.2">
      <c r="E180" s="125"/>
    </row>
    <row r="181" spans="3:11" s="112" customFormat="1" ht="16.5" customHeight="1" x14ac:dyDescent="0.2">
      <c r="E181" s="125"/>
    </row>
    <row r="182" spans="3:11" ht="0" hidden="1" customHeight="1" x14ac:dyDescent="0.2">
      <c r="C182" s="57" t="s">
        <v>44</v>
      </c>
      <c r="D182" s="126"/>
      <c r="E182" s="127"/>
      <c r="F182" s="91"/>
      <c r="G182" s="91"/>
      <c r="H182" s="91"/>
      <c r="I182" s="91"/>
      <c r="J182" s="91"/>
      <c r="K182" s="91"/>
    </row>
    <row r="183" spans="3:11" ht="0" hidden="1" customHeight="1" x14ac:dyDescent="0.2">
      <c r="C183" s="58" t="s">
        <v>45</v>
      </c>
      <c r="D183" s="58"/>
      <c r="E183" s="40"/>
      <c r="F183" s="19"/>
      <c r="G183" s="19"/>
      <c r="H183" s="19"/>
      <c r="I183" s="19"/>
      <c r="J183" s="19"/>
      <c r="K183" s="19"/>
    </row>
    <row r="184" spans="3:11" ht="0" hidden="1" customHeight="1" x14ac:dyDescent="0.2">
      <c r="C184" s="58" t="s">
        <v>42</v>
      </c>
      <c r="D184" s="58"/>
      <c r="E184" s="40"/>
      <c r="F184" s="19"/>
      <c r="G184" s="19"/>
      <c r="H184" s="19"/>
      <c r="I184" s="19"/>
      <c r="J184" s="19"/>
      <c r="K184" s="19"/>
    </row>
    <row r="185" spans="3:11" ht="0" hidden="1" customHeight="1" x14ac:dyDescent="0.2">
      <c r="C185" s="128" t="s">
        <v>68</v>
      </c>
      <c r="D185" s="129"/>
      <c r="E185" s="109"/>
      <c r="F185" s="130"/>
      <c r="G185" s="130"/>
      <c r="H185" s="130"/>
      <c r="I185" s="130"/>
      <c r="J185" s="130"/>
      <c r="K185" s="131"/>
    </row>
    <row r="186" spans="3:11" ht="0" hidden="1" customHeight="1" x14ac:dyDescent="0.2">
      <c r="C186" s="58" t="s">
        <v>43</v>
      </c>
      <c r="D186" s="58"/>
      <c r="E186" s="40"/>
      <c r="F186" s="19"/>
      <c r="G186" s="19"/>
      <c r="H186" s="19"/>
      <c r="I186" s="19"/>
      <c r="J186" s="19"/>
      <c r="K186" s="19"/>
    </row>
    <row r="187" spans="3:11" ht="0" hidden="1" customHeight="1" x14ac:dyDescent="0.2">
      <c r="C187" s="58" t="s">
        <v>14</v>
      </c>
      <c r="D187" s="58"/>
      <c r="E187" s="40"/>
      <c r="F187" s="19"/>
      <c r="G187" s="19"/>
      <c r="H187" s="19"/>
      <c r="I187" s="19"/>
      <c r="J187" s="19"/>
      <c r="K187" s="19"/>
    </row>
    <row r="188" spans="3:11" ht="0" hidden="1" customHeight="1" x14ac:dyDescent="0.2">
      <c r="C188" s="58" t="s">
        <v>44</v>
      </c>
      <c r="D188" s="132"/>
      <c r="E188" s="109"/>
      <c r="F188" s="19"/>
      <c r="G188" s="19"/>
      <c r="H188" s="19"/>
      <c r="I188" s="19"/>
      <c r="J188" s="19"/>
      <c r="K188" s="19"/>
    </row>
    <row r="189" spans="3:11" ht="0" hidden="1" customHeight="1" x14ac:dyDescent="0.2">
      <c r="C189" s="58" t="s">
        <v>45</v>
      </c>
      <c r="D189" s="58"/>
      <c r="E189" s="40"/>
      <c r="F189" s="19"/>
      <c r="G189" s="19"/>
      <c r="H189" s="19"/>
      <c r="I189" s="19"/>
      <c r="J189" s="19"/>
      <c r="K189" s="19"/>
    </row>
    <row r="190" spans="3:11" ht="0" hidden="1" customHeight="1" x14ac:dyDescent="0.2">
      <c r="C190" s="128" t="s">
        <v>21</v>
      </c>
      <c r="D190" s="129"/>
      <c r="E190" s="109"/>
      <c r="F190" s="130"/>
      <c r="G190" s="130"/>
      <c r="H190" s="130"/>
      <c r="I190" s="130"/>
      <c r="J190" s="130"/>
      <c r="K190" s="131"/>
    </row>
    <row r="191" spans="3:11" ht="0" hidden="1" customHeight="1" x14ac:dyDescent="0.2">
      <c r="C191" s="58" t="s">
        <v>69</v>
      </c>
      <c r="D191" s="58"/>
      <c r="E191" s="40"/>
      <c r="F191" s="19"/>
      <c r="G191" s="19"/>
      <c r="H191" s="19"/>
      <c r="I191" s="19"/>
      <c r="J191" s="19"/>
      <c r="K191" s="19"/>
    </row>
  </sheetData>
  <sheetProtection algorithmName="SHA-512" hashValue="WXtHR3oYit/lehf9HQYIHKe+RXbhqEZzaHjaZaNVNx1XSqqW5EyDkXWUxD8KvlfuSF124RpHeKPKqsTZlS36bQ==" saltValue="180d36q3S3fiV1e8eUyYyw==" spinCount="100000" sheet="1" formatCells="0" formatColumns="0" formatRows="0" insertColumns="0" insertRows="0" insertHyperlinks="0" deleteColumns="0" deleteRows="0" selectLockedCells="1" sort="0" autoFilter="0" pivotTables="0" selectUnlockedCells="1"/>
  <mergeCells count="1">
    <mergeCell ref="L36:L44"/>
  </mergeCells>
  <dataValidations count="1">
    <dataValidation allowBlank="1" showInputMessage="1" showErrorMessage="1" prompt="Período de vida útil do ativo (em anos) para cálculo de amortizações." sqref="D118:D128 D21:E35 D6:E19 E117:E138 D37:E116"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140625" defaultRowHeight="15" x14ac:dyDescent="0.25"/>
  <sheetData>
    <row r="1" spans="1:1" x14ac:dyDescent="0.25">
      <c r="A1">
        <v>111</v>
      </c>
    </row>
    <row r="2" spans="1:1" x14ac:dyDescent="0.25">
      <c r="A2">
        <v>112</v>
      </c>
    </row>
    <row r="3" spans="1:1" x14ac:dyDescent="0.25">
      <c r="A3">
        <v>113</v>
      </c>
    </row>
    <row r="4" spans="1:1" x14ac:dyDescent="0.25">
      <c r="A4">
        <v>114</v>
      </c>
    </row>
    <row r="5" spans="1:1" x14ac:dyDescent="0.25">
      <c r="A5">
        <v>115</v>
      </c>
    </row>
    <row r="6" spans="1:1" x14ac:dyDescent="0.25">
      <c r="A6">
        <v>116</v>
      </c>
    </row>
    <row r="7" spans="1:1" x14ac:dyDescent="0.25">
      <c r="A7">
        <v>119</v>
      </c>
    </row>
    <row r="8" spans="1:1" x14ac:dyDescent="0.25">
      <c r="A8">
        <v>121</v>
      </c>
    </row>
    <row r="9" spans="1:1" x14ac:dyDescent="0.25">
      <c r="A9">
        <v>122</v>
      </c>
    </row>
    <row r="10" spans="1:1" x14ac:dyDescent="0.25">
      <c r="A10">
        <v>123</v>
      </c>
    </row>
    <row r="11" spans="1:1" x14ac:dyDescent="0.25">
      <c r="A11">
        <v>124</v>
      </c>
    </row>
    <row r="12" spans="1:1" x14ac:dyDescent="0.25">
      <c r="A12">
        <v>125</v>
      </c>
    </row>
    <row r="13" spans="1:1" x14ac:dyDescent="0.25">
      <c r="A13">
        <v>126</v>
      </c>
    </row>
    <row r="14" spans="1:1" x14ac:dyDescent="0.25">
      <c r="A14">
        <v>127</v>
      </c>
    </row>
    <row r="15" spans="1:1" x14ac:dyDescent="0.25">
      <c r="A15">
        <v>128</v>
      </c>
    </row>
    <row r="16" spans="1:1" x14ac:dyDescent="0.25">
      <c r="A16">
        <v>129</v>
      </c>
    </row>
    <row r="17" spans="1:1" x14ac:dyDescent="0.25">
      <c r="A17">
        <v>130</v>
      </c>
    </row>
    <row r="18" spans="1:1" x14ac:dyDescent="0.25">
      <c r="A18">
        <v>141</v>
      </c>
    </row>
    <row r="19" spans="1:1" x14ac:dyDescent="0.25">
      <c r="A19">
        <v>142</v>
      </c>
    </row>
    <row r="20" spans="1:1" x14ac:dyDescent="0.25">
      <c r="A20">
        <v>143</v>
      </c>
    </row>
    <row r="21" spans="1:1" x14ac:dyDescent="0.25">
      <c r="A21">
        <v>144</v>
      </c>
    </row>
    <row r="22" spans="1:1" x14ac:dyDescent="0.25">
      <c r="A22">
        <v>145</v>
      </c>
    </row>
    <row r="23" spans="1:1" x14ac:dyDescent="0.25">
      <c r="A23">
        <v>146</v>
      </c>
    </row>
    <row r="24" spans="1:1" x14ac:dyDescent="0.25">
      <c r="A24">
        <v>147</v>
      </c>
    </row>
    <row r="25" spans="1:1" x14ac:dyDescent="0.25">
      <c r="A25">
        <v>149</v>
      </c>
    </row>
    <row r="26" spans="1:1" x14ac:dyDescent="0.25">
      <c r="A26">
        <v>150</v>
      </c>
    </row>
    <row r="27" spans="1:1" x14ac:dyDescent="0.25">
      <c r="A27">
        <v>161</v>
      </c>
    </row>
    <row r="28" spans="1:1" x14ac:dyDescent="0.25">
      <c r="A28">
        <v>162</v>
      </c>
    </row>
    <row r="29" spans="1:1" x14ac:dyDescent="0.25">
      <c r="A29">
        <v>163</v>
      </c>
    </row>
    <row r="30" spans="1:1" x14ac:dyDescent="0.25">
      <c r="A30">
        <v>164</v>
      </c>
    </row>
    <row r="31" spans="1:1" x14ac:dyDescent="0.25">
      <c r="A31">
        <v>170</v>
      </c>
    </row>
    <row r="32" spans="1:1" x14ac:dyDescent="0.25">
      <c r="A32">
        <v>210</v>
      </c>
    </row>
    <row r="33" spans="1:1" x14ac:dyDescent="0.25">
      <c r="A33">
        <v>220</v>
      </c>
    </row>
    <row r="34" spans="1:1" x14ac:dyDescent="0.25">
      <c r="A34">
        <v>230</v>
      </c>
    </row>
    <row r="35" spans="1:1" x14ac:dyDescent="0.25">
      <c r="A35">
        <v>240</v>
      </c>
    </row>
    <row r="36" spans="1:1" x14ac:dyDescent="0.25">
      <c r="A36">
        <v>311</v>
      </c>
    </row>
    <row r="37" spans="1:1" x14ac:dyDescent="0.25">
      <c r="A37">
        <v>312</v>
      </c>
    </row>
    <row r="38" spans="1:1" x14ac:dyDescent="0.25">
      <c r="A38">
        <v>321</v>
      </c>
    </row>
    <row r="39" spans="1:1" x14ac:dyDescent="0.25">
      <c r="A39">
        <v>322</v>
      </c>
    </row>
    <row r="40" spans="1:1" x14ac:dyDescent="0.25">
      <c r="A40">
        <v>510</v>
      </c>
    </row>
    <row r="41" spans="1:1" x14ac:dyDescent="0.25">
      <c r="A41">
        <v>520</v>
      </c>
    </row>
    <row r="42" spans="1:1" x14ac:dyDescent="0.25">
      <c r="A42">
        <v>610</v>
      </c>
    </row>
    <row r="43" spans="1:1" x14ac:dyDescent="0.25">
      <c r="A43">
        <v>620</v>
      </c>
    </row>
    <row r="44" spans="1:1" x14ac:dyDescent="0.25">
      <c r="A44">
        <v>710</v>
      </c>
    </row>
    <row r="45" spans="1:1" x14ac:dyDescent="0.25">
      <c r="A45">
        <v>721</v>
      </c>
    </row>
    <row r="46" spans="1:1" x14ac:dyDescent="0.25">
      <c r="A46">
        <v>729</v>
      </c>
    </row>
    <row r="47" spans="1:1" x14ac:dyDescent="0.25">
      <c r="A47">
        <v>811</v>
      </c>
    </row>
    <row r="48" spans="1:1" x14ac:dyDescent="0.25">
      <c r="A48">
        <v>812</v>
      </c>
    </row>
    <row r="49" spans="1:1" x14ac:dyDescent="0.25">
      <c r="A49">
        <v>891</v>
      </c>
    </row>
    <row r="50" spans="1:1" x14ac:dyDescent="0.25">
      <c r="A50">
        <v>892</v>
      </c>
    </row>
    <row r="51" spans="1:1" x14ac:dyDescent="0.25">
      <c r="A51">
        <v>893</v>
      </c>
    </row>
    <row r="52" spans="1:1" x14ac:dyDescent="0.25">
      <c r="A52">
        <v>899</v>
      </c>
    </row>
    <row r="53" spans="1:1" x14ac:dyDescent="0.25">
      <c r="A53">
        <v>910</v>
      </c>
    </row>
    <row r="54" spans="1:1" x14ac:dyDescent="0.25">
      <c r="A54">
        <v>990</v>
      </c>
    </row>
    <row r="55" spans="1:1" x14ac:dyDescent="0.25">
      <c r="A55">
        <v>1011</v>
      </c>
    </row>
    <row r="56" spans="1:1" x14ac:dyDescent="0.25">
      <c r="A56">
        <v>1012</v>
      </c>
    </row>
    <row r="57" spans="1:1" x14ac:dyDescent="0.25">
      <c r="A57">
        <v>1013</v>
      </c>
    </row>
    <row r="58" spans="1:1" x14ac:dyDescent="0.25">
      <c r="A58">
        <v>1020</v>
      </c>
    </row>
    <row r="59" spans="1:1" x14ac:dyDescent="0.25">
      <c r="A59">
        <v>1031</v>
      </c>
    </row>
    <row r="60" spans="1:1" x14ac:dyDescent="0.25">
      <c r="A60">
        <v>1032</v>
      </c>
    </row>
    <row r="61" spans="1:1" x14ac:dyDescent="0.25">
      <c r="A61">
        <v>1039</v>
      </c>
    </row>
    <row r="62" spans="1:1" x14ac:dyDescent="0.25">
      <c r="A62">
        <v>1041</v>
      </c>
    </row>
    <row r="63" spans="1:1" x14ac:dyDescent="0.25">
      <c r="A63">
        <v>1103</v>
      </c>
    </row>
    <row r="64" spans="1:1" x14ac:dyDescent="0.25">
      <c r="A64">
        <v>1104</v>
      </c>
    </row>
    <row r="65" spans="1:1" x14ac:dyDescent="0.25">
      <c r="A65">
        <v>1105</v>
      </c>
    </row>
    <row r="66" spans="1:1" x14ac:dyDescent="0.25">
      <c r="A66">
        <v>1106</v>
      </c>
    </row>
    <row r="67" spans="1:1" x14ac:dyDescent="0.25">
      <c r="A67">
        <v>1107</v>
      </c>
    </row>
    <row r="68" spans="1:1" x14ac:dyDescent="0.25">
      <c r="A68">
        <v>1200</v>
      </c>
    </row>
    <row r="69" spans="1:1" x14ac:dyDescent="0.25">
      <c r="A69">
        <v>1310</v>
      </c>
    </row>
    <row r="70" spans="1:1" x14ac:dyDescent="0.25">
      <c r="A70">
        <v>1320</v>
      </c>
    </row>
    <row r="71" spans="1:1" x14ac:dyDescent="0.25">
      <c r="A71">
        <v>1330</v>
      </c>
    </row>
    <row r="72" spans="1:1" x14ac:dyDescent="0.25">
      <c r="A72">
        <v>1391</v>
      </c>
    </row>
    <row r="73" spans="1:1" x14ac:dyDescent="0.25">
      <c r="A73">
        <v>1392</v>
      </c>
    </row>
    <row r="74" spans="1:1" x14ac:dyDescent="0.25">
      <c r="A74">
        <v>1393</v>
      </c>
    </row>
    <row r="75" spans="1:1" x14ac:dyDescent="0.25">
      <c r="A75">
        <v>1394</v>
      </c>
    </row>
    <row r="76" spans="1:1" x14ac:dyDescent="0.25">
      <c r="A76">
        <v>1395</v>
      </c>
    </row>
    <row r="77" spans="1:1" x14ac:dyDescent="0.25">
      <c r="A77">
        <v>1396</v>
      </c>
    </row>
    <row r="78" spans="1:1" x14ac:dyDescent="0.25">
      <c r="A78">
        <v>1399</v>
      </c>
    </row>
    <row r="79" spans="1:1" x14ac:dyDescent="0.25">
      <c r="A79">
        <v>1411</v>
      </c>
    </row>
    <row r="80" spans="1:1" x14ac:dyDescent="0.25">
      <c r="A80">
        <v>1412</v>
      </c>
    </row>
    <row r="81" spans="1:1" x14ac:dyDescent="0.25">
      <c r="A81">
        <v>1413</v>
      </c>
    </row>
    <row r="82" spans="1:1" x14ac:dyDescent="0.25">
      <c r="A82">
        <v>1414</v>
      </c>
    </row>
    <row r="83" spans="1:1" x14ac:dyDescent="0.25">
      <c r="A83">
        <v>1419</v>
      </c>
    </row>
    <row r="84" spans="1:1" x14ac:dyDescent="0.25">
      <c r="A84">
        <v>1420</v>
      </c>
    </row>
    <row r="85" spans="1:1" x14ac:dyDescent="0.25">
      <c r="A85">
        <v>1431</v>
      </c>
    </row>
    <row r="86" spans="1:1" x14ac:dyDescent="0.25">
      <c r="A86">
        <v>1439</v>
      </c>
    </row>
    <row r="87" spans="1:1" x14ac:dyDescent="0.25">
      <c r="A87">
        <v>1511</v>
      </c>
    </row>
    <row r="88" spans="1:1" x14ac:dyDescent="0.25">
      <c r="A88">
        <v>1512</v>
      </c>
    </row>
    <row r="89" spans="1:1" x14ac:dyDescent="0.25">
      <c r="A89">
        <v>1520</v>
      </c>
    </row>
    <row r="90" spans="1:1" x14ac:dyDescent="0.25">
      <c r="A90">
        <v>1721</v>
      </c>
    </row>
    <row r="91" spans="1:1" x14ac:dyDescent="0.25">
      <c r="A91">
        <v>1722</v>
      </c>
    </row>
    <row r="92" spans="1:1" x14ac:dyDescent="0.25">
      <c r="A92">
        <v>1723</v>
      </c>
    </row>
    <row r="93" spans="1:1" x14ac:dyDescent="0.25">
      <c r="A93">
        <v>1724</v>
      </c>
    </row>
    <row r="94" spans="1:1" x14ac:dyDescent="0.25">
      <c r="A94">
        <v>1729</v>
      </c>
    </row>
    <row r="95" spans="1:1" x14ac:dyDescent="0.25">
      <c r="A95">
        <v>1811</v>
      </c>
    </row>
    <row r="96" spans="1:1" x14ac:dyDescent="0.25">
      <c r="A96">
        <v>1812</v>
      </c>
    </row>
    <row r="97" spans="1:1" x14ac:dyDescent="0.25">
      <c r="A97">
        <v>1813</v>
      </c>
    </row>
    <row r="98" spans="1:1" x14ac:dyDescent="0.25">
      <c r="A98">
        <v>1814</v>
      </c>
    </row>
    <row r="99" spans="1:1" x14ac:dyDescent="0.25">
      <c r="A99">
        <v>1820</v>
      </c>
    </row>
    <row r="100" spans="1:1" x14ac:dyDescent="0.25">
      <c r="A100">
        <v>1910</v>
      </c>
    </row>
    <row r="101" spans="1:1" x14ac:dyDescent="0.25">
      <c r="A101">
        <v>1920</v>
      </c>
    </row>
    <row r="102" spans="1:1" x14ac:dyDescent="0.25">
      <c r="A102">
        <v>2011</v>
      </c>
    </row>
    <row r="103" spans="1:1" x14ac:dyDescent="0.25">
      <c r="A103">
        <v>2012</v>
      </c>
    </row>
    <row r="104" spans="1:1" x14ac:dyDescent="0.25">
      <c r="A104">
        <v>2013</v>
      </c>
    </row>
    <row r="105" spans="1:1" x14ac:dyDescent="0.25">
      <c r="A105">
        <v>2014</v>
      </c>
    </row>
    <row r="106" spans="1:1" x14ac:dyDescent="0.25">
      <c r="A106">
        <v>2015</v>
      </c>
    </row>
    <row r="107" spans="1:1" x14ac:dyDescent="0.25">
      <c r="A107">
        <v>2016</v>
      </c>
    </row>
    <row r="108" spans="1:1" x14ac:dyDescent="0.25">
      <c r="A108">
        <v>2017</v>
      </c>
    </row>
    <row r="109" spans="1:1" x14ac:dyDescent="0.25">
      <c r="A109">
        <v>2020</v>
      </c>
    </row>
    <row r="110" spans="1:1" x14ac:dyDescent="0.25">
      <c r="A110">
        <v>2030</v>
      </c>
    </row>
    <row r="111" spans="1:1" x14ac:dyDescent="0.25">
      <c r="A111">
        <v>2041</v>
      </c>
    </row>
    <row r="112" spans="1:1" x14ac:dyDescent="0.25">
      <c r="A112">
        <v>2042</v>
      </c>
    </row>
    <row r="113" spans="1:1" x14ac:dyDescent="0.25">
      <c r="A113">
        <v>2051</v>
      </c>
    </row>
    <row r="114" spans="1:1" x14ac:dyDescent="0.25">
      <c r="A114">
        <v>2052</v>
      </c>
    </row>
    <row r="115" spans="1:1" x14ac:dyDescent="0.25">
      <c r="A115">
        <v>2053</v>
      </c>
    </row>
    <row r="116" spans="1:1" x14ac:dyDescent="0.25">
      <c r="A116">
        <v>2059</v>
      </c>
    </row>
    <row r="117" spans="1:1" x14ac:dyDescent="0.25">
      <c r="A117">
        <v>2060</v>
      </c>
    </row>
    <row r="118" spans="1:1" x14ac:dyDescent="0.25">
      <c r="A118">
        <v>2110</v>
      </c>
    </row>
    <row r="119" spans="1:1" x14ac:dyDescent="0.25">
      <c r="A119">
        <v>2120</v>
      </c>
    </row>
    <row r="120" spans="1:1" x14ac:dyDescent="0.25">
      <c r="A120">
        <v>2211</v>
      </c>
    </row>
    <row r="121" spans="1:1" x14ac:dyDescent="0.25">
      <c r="A121">
        <v>2219</v>
      </c>
    </row>
    <row r="122" spans="1:1" x14ac:dyDescent="0.25">
      <c r="A122">
        <v>2221</v>
      </c>
    </row>
    <row r="123" spans="1:1" x14ac:dyDescent="0.25">
      <c r="A123">
        <v>2222</v>
      </c>
    </row>
    <row r="124" spans="1:1" x14ac:dyDescent="0.25">
      <c r="A124">
        <v>2223</v>
      </c>
    </row>
    <row r="125" spans="1:1" x14ac:dyDescent="0.25">
      <c r="A125">
        <v>2229</v>
      </c>
    </row>
    <row r="126" spans="1:1" x14ac:dyDescent="0.25">
      <c r="A126">
        <v>2311</v>
      </c>
    </row>
    <row r="127" spans="1:1" x14ac:dyDescent="0.25">
      <c r="A127">
        <v>2312</v>
      </c>
    </row>
    <row r="128" spans="1:1" x14ac:dyDescent="0.25">
      <c r="A128">
        <v>2313</v>
      </c>
    </row>
    <row r="129" spans="1:1" x14ac:dyDescent="0.25">
      <c r="A129">
        <v>2314</v>
      </c>
    </row>
    <row r="130" spans="1:1" x14ac:dyDescent="0.25">
      <c r="A130">
        <v>2319</v>
      </c>
    </row>
    <row r="131" spans="1:1" x14ac:dyDescent="0.25">
      <c r="A131">
        <v>2320</v>
      </c>
    </row>
    <row r="132" spans="1:1" x14ac:dyDescent="0.25">
      <c r="A132">
        <v>2331</v>
      </c>
    </row>
    <row r="133" spans="1:1" x14ac:dyDescent="0.25">
      <c r="A133">
        <v>2332</v>
      </c>
    </row>
    <row r="134" spans="1:1" x14ac:dyDescent="0.25">
      <c r="A134">
        <v>2341</v>
      </c>
    </row>
    <row r="135" spans="1:1" x14ac:dyDescent="0.25">
      <c r="A135">
        <v>2342</v>
      </c>
    </row>
    <row r="136" spans="1:1" x14ac:dyDescent="0.25">
      <c r="A136">
        <v>2343</v>
      </c>
    </row>
    <row r="137" spans="1:1" x14ac:dyDescent="0.25">
      <c r="A137">
        <v>2344</v>
      </c>
    </row>
    <row r="138" spans="1:1" x14ac:dyDescent="0.25">
      <c r="A138">
        <v>2349</v>
      </c>
    </row>
    <row r="139" spans="1:1" x14ac:dyDescent="0.25">
      <c r="A139">
        <v>2351</v>
      </c>
    </row>
    <row r="140" spans="1:1" x14ac:dyDescent="0.25">
      <c r="A140">
        <v>2352</v>
      </c>
    </row>
    <row r="141" spans="1:1" x14ac:dyDescent="0.25">
      <c r="A141">
        <v>2361</v>
      </c>
    </row>
    <row r="142" spans="1:1" x14ac:dyDescent="0.25">
      <c r="A142">
        <v>2362</v>
      </c>
    </row>
    <row r="143" spans="1:1" x14ac:dyDescent="0.25">
      <c r="A143">
        <v>2363</v>
      </c>
    </row>
    <row r="144" spans="1:1" x14ac:dyDescent="0.25">
      <c r="A144">
        <v>2364</v>
      </c>
    </row>
    <row r="145" spans="1:1" x14ac:dyDescent="0.25">
      <c r="A145">
        <v>2365</v>
      </c>
    </row>
    <row r="146" spans="1:1" x14ac:dyDescent="0.25">
      <c r="A146">
        <v>2369</v>
      </c>
    </row>
    <row r="147" spans="1:1" x14ac:dyDescent="0.25">
      <c r="A147">
        <v>2370</v>
      </c>
    </row>
    <row r="148" spans="1:1" x14ac:dyDescent="0.25">
      <c r="A148">
        <v>2391</v>
      </c>
    </row>
    <row r="149" spans="1:1" x14ac:dyDescent="0.25">
      <c r="A149">
        <v>2399</v>
      </c>
    </row>
    <row r="150" spans="1:1" x14ac:dyDescent="0.25">
      <c r="A150">
        <v>2410</v>
      </c>
    </row>
    <row r="151" spans="1:1" x14ac:dyDescent="0.25">
      <c r="A151">
        <v>2420</v>
      </c>
    </row>
    <row r="152" spans="1:1" x14ac:dyDescent="0.25">
      <c r="A152">
        <v>2431</v>
      </c>
    </row>
    <row r="153" spans="1:1" x14ac:dyDescent="0.25">
      <c r="A153">
        <v>2432</v>
      </c>
    </row>
    <row r="154" spans="1:1" x14ac:dyDescent="0.25">
      <c r="A154">
        <v>2433</v>
      </c>
    </row>
    <row r="155" spans="1:1" x14ac:dyDescent="0.25">
      <c r="A155">
        <v>2434</v>
      </c>
    </row>
    <row r="156" spans="1:1" x14ac:dyDescent="0.25">
      <c r="A156">
        <v>2441</v>
      </c>
    </row>
    <row r="157" spans="1:1" x14ac:dyDescent="0.25">
      <c r="A157">
        <v>2442</v>
      </c>
    </row>
    <row r="158" spans="1:1" x14ac:dyDescent="0.25">
      <c r="A158">
        <v>2443</v>
      </c>
    </row>
    <row r="159" spans="1:1" x14ac:dyDescent="0.25">
      <c r="A159">
        <v>2444</v>
      </c>
    </row>
    <row r="160" spans="1:1" x14ac:dyDescent="0.25">
      <c r="A160">
        <v>2445</v>
      </c>
    </row>
    <row r="161" spans="1:1" x14ac:dyDescent="0.25">
      <c r="A161">
        <v>2446</v>
      </c>
    </row>
    <row r="162" spans="1:1" x14ac:dyDescent="0.25">
      <c r="A162">
        <v>2451</v>
      </c>
    </row>
    <row r="163" spans="1:1" x14ac:dyDescent="0.25">
      <c r="A163">
        <v>2452</v>
      </c>
    </row>
    <row r="164" spans="1:1" x14ac:dyDescent="0.25">
      <c r="A164">
        <v>2453</v>
      </c>
    </row>
    <row r="165" spans="1:1" x14ac:dyDescent="0.25">
      <c r="A165">
        <v>2454</v>
      </c>
    </row>
    <row r="166" spans="1:1" x14ac:dyDescent="0.25">
      <c r="A166">
        <v>2511</v>
      </c>
    </row>
    <row r="167" spans="1:1" x14ac:dyDescent="0.25">
      <c r="A167">
        <v>2512</v>
      </c>
    </row>
    <row r="168" spans="1:1" x14ac:dyDescent="0.25">
      <c r="A168">
        <v>2521</v>
      </c>
    </row>
    <row r="169" spans="1:1" x14ac:dyDescent="0.25">
      <c r="A169">
        <v>2529</v>
      </c>
    </row>
    <row r="170" spans="1:1" x14ac:dyDescent="0.25">
      <c r="A170">
        <v>2530</v>
      </c>
    </row>
    <row r="171" spans="1:1" x14ac:dyDescent="0.25">
      <c r="A171">
        <v>2540</v>
      </c>
    </row>
    <row r="172" spans="1:1" x14ac:dyDescent="0.25">
      <c r="A172">
        <v>2550</v>
      </c>
    </row>
    <row r="173" spans="1:1" x14ac:dyDescent="0.25">
      <c r="A173">
        <v>2561</v>
      </c>
    </row>
    <row r="174" spans="1:1" x14ac:dyDescent="0.25">
      <c r="A174">
        <v>2562</v>
      </c>
    </row>
    <row r="175" spans="1:1" x14ac:dyDescent="0.25">
      <c r="A175">
        <v>2571</v>
      </c>
    </row>
    <row r="176" spans="1:1" x14ac:dyDescent="0.25">
      <c r="A176">
        <v>2572</v>
      </c>
    </row>
    <row r="177" spans="1:1" x14ac:dyDescent="0.25">
      <c r="A177">
        <v>2573</v>
      </c>
    </row>
    <row r="178" spans="1:1" x14ac:dyDescent="0.25">
      <c r="A178">
        <v>2591</v>
      </c>
    </row>
    <row r="179" spans="1:1" x14ac:dyDescent="0.25">
      <c r="A179">
        <v>2592</v>
      </c>
    </row>
    <row r="180" spans="1:1" x14ac:dyDescent="0.25">
      <c r="A180">
        <v>2593</v>
      </c>
    </row>
    <row r="181" spans="1:1" x14ac:dyDescent="0.25">
      <c r="A181">
        <v>2594</v>
      </c>
    </row>
    <row r="182" spans="1:1" x14ac:dyDescent="0.25">
      <c r="A182">
        <v>2599</v>
      </c>
    </row>
    <row r="183" spans="1:1" x14ac:dyDescent="0.25">
      <c r="A183">
        <v>2611</v>
      </c>
    </row>
    <row r="184" spans="1:1" x14ac:dyDescent="0.25">
      <c r="A184">
        <v>2612</v>
      </c>
    </row>
    <row r="185" spans="1:1" x14ac:dyDescent="0.25">
      <c r="A185">
        <v>2620</v>
      </c>
    </row>
    <row r="186" spans="1:1" x14ac:dyDescent="0.25">
      <c r="A186">
        <v>2630</v>
      </c>
    </row>
    <row r="187" spans="1:1" x14ac:dyDescent="0.25">
      <c r="A187">
        <v>2640</v>
      </c>
    </row>
    <row r="188" spans="1:1" x14ac:dyDescent="0.25">
      <c r="A188">
        <v>2651</v>
      </c>
    </row>
    <row r="189" spans="1:1" x14ac:dyDescent="0.25">
      <c r="A189">
        <v>2652</v>
      </c>
    </row>
    <row r="190" spans="1:1" x14ac:dyDescent="0.25">
      <c r="A190">
        <v>2660</v>
      </c>
    </row>
    <row r="191" spans="1:1" x14ac:dyDescent="0.25">
      <c r="A191">
        <v>2670</v>
      </c>
    </row>
    <row r="192" spans="1:1" x14ac:dyDescent="0.25">
      <c r="A192">
        <v>2680</v>
      </c>
    </row>
    <row r="193" spans="1:1" x14ac:dyDescent="0.25">
      <c r="A193">
        <v>2711</v>
      </c>
    </row>
    <row r="194" spans="1:1" x14ac:dyDescent="0.25">
      <c r="A194">
        <v>2712</v>
      </c>
    </row>
    <row r="195" spans="1:1" x14ac:dyDescent="0.25">
      <c r="A195">
        <v>2720</v>
      </c>
    </row>
    <row r="196" spans="1:1" x14ac:dyDescent="0.25">
      <c r="A196">
        <v>2731</v>
      </c>
    </row>
    <row r="197" spans="1:1" x14ac:dyDescent="0.25">
      <c r="A197">
        <v>2732</v>
      </c>
    </row>
    <row r="198" spans="1:1" x14ac:dyDescent="0.25">
      <c r="A198">
        <v>2733</v>
      </c>
    </row>
    <row r="199" spans="1:1" x14ac:dyDescent="0.25">
      <c r="A199">
        <v>2740</v>
      </c>
    </row>
    <row r="200" spans="1:1" x14ac:dyDescent="0.25">
      <c r="A200">
        <v>2751</v>
      </c>
    </row>
    <row r="201" spans="1:1" x14ac:dyDescent="0.25">
      <c r="A201">
        <v>2752</v>
      </c>
    </row>
    <row r="202" spans="1:1" x14ac:dyDescent="0.25">
      <c r="A202">
        <v>2790</v>
      </c>
    </row>
    <row r="203" spans="1:1" x14ac:dyDescent="0.25">
      <c r="A203">
        <v>2811</v>
      </c>
    </row>
    <row r="204" spans="1:1" x14ac:dyDescent="0.25">
      <c r="A204">
        <v>2812</v>
      </c>
    </row>
    <row r="205" spans="1:1" x14ac:dyDescent="0.25">
      <c r="A205">
        <v>2813</v>
      </c>
    </row>
    <row r="206" spans="1:1" x14ac:dyDescent="0.25">
      <c r="A206">
        <v>2814</v>
      </c>
    </row>
    <row r="207" spans="1:1" x14ac:dyDescent="0.25">
      <c r="A207">
        <v>2815</v>
      </c>
    </row>
    <row r="208" spans="1:1" x14ac:dyDescent="0.25">
      <c r="A208">
        <v>2821</v>
      </c>
    </row>
    <row r="209" spans="1:1" x14ac:dyDescent="0.25">
      <c r="A209">
        <v>2822</v>
      </c>
    </row>
    <row r="210" spans="1:1" x14ac:dyDescent="0.25">
      <c r="A210">
        <v>2823</v>
      </c>
    </row>
    <row r="211" spans="1:1" x14ac:dyDescent="0.25">
      <c r="A211">
        <v>2824</v>
      </c>
    </row>
    <row r="212" spans="1:1" x14ac:dyDescent="0.25">
      <c r="A212">
        <v>2825</v>
      </c>
    </row>
    <row r="213" spans="1:1" x14ac:dyDescent="0.25">
      <c r="A213">
        <v>2829</v>
      </c>
    </row>
    <row r="214" spans="1:1" x14ac:dyDescent="0.25">
      <c r="A214">
        <v>2830</v>
      </c>
    </row>
    <row r="215" spans="1:1" x14ac:dyDescent="0.25">
      <c r="A215">
        <v>2841</v>
      </c>
    </row>
    <row r="216" spans="1:1" x14ac:dyDescent="0.25">
      <c r="A216">
        <v>2849</v>
      </c>
    </row>
    <row r="217" spans="1:1" x14ac:dyDescent="0.25">
      <c r="A217">
        <v>2891</v>
      </c>
    </row>
    <row r="218" spans="1:1" x14ac:dyDescent="0.25">
      <c r="A218">
        <v>2892</v>
      </c>
    </row>
    <row r="219" spans="1:1" x14ac:dyDescent="0.25">
      <c r="A219">
        <v>2893</v>
      </c>
    </row>
    <row r="220" spans="1:1" x14ac:dyDescent="0.25">
      <c r="A220">
        <v>2894</v>
      </c>
    </row>
    <row r="221" spans="1:1" x14ac:dyDescent="0.25">
      <c r="A221">
        <v>2895</v>
      </c>
    </row>
    <row r="222" spans="1:1" x14ac:dyDescent="0.25">
      <c r="A222">
        <v>2896</v>
      </c>
    </row>
    <row r="223" spans="1:1" x14ac:dyDescent="0.25">
      <c r="A223">
        <v>2899</v>
      </c>
    </row>
    <row r="224" spans="1:1" x14ac:dyDescent="0.25">
      <c r="A224">
        <v>2910</v>
      </c>
    </row>
    <row r="225" spans="1:1" x14ac:dyDescent="0.25">
      <c r="A225">
        <v>2920</v>
      </c>
    </row>
    <row r="226" spans="1:1" x14ac:dyDescent="0.25">
      <c r="A226">
        <v>2931</v>
      </c>
    </row>
    <row r="227" spans="1:1" x14ac:dyDescent="0.25">
      <c r="A227">
        <v>2932</v>
      </c>
    </row>
    <row r="228" spans="1:1" x14ac:dyDescent="0.25">
      <c r="A228">
        <v>3011</v>
      </c>
    </row>
    <row r="229" spans="1:1" x14ac:dyDescent="0.25">
      <c r="A229">
        <v>3012</v>
      </c>
    </row>
    <row r="230" spans="1:1" x14ac:dyDescent="0.25">
      <c r="A230">
        <v>3020</v>
      </c>
    </row>
    <row r="231" spans="1:1" x14ac:dyDescent="0.25">
      <c r="A231">
        <v>3030</v>
      </c>
    </row>
    <row r="232" spans="1:1" x14ac:dyDescent="0.25">
      <c r="A232">
        <v>3040</v>
      </c>
    </row>
    <row r="233" spans="1:1" x14ac:dyDescent="0.25">
      <c r="A233">
        <v>3091</v>
      </c>
    </row>
    <row r="234" spans="1:1" x14ac:dyDescent="0.25">
      <c r="A234">
        <v>3092</v>
      </c>
    </row>
    <row r="235" spans="1:1" x14ac:dyDescent="0.25">
      <c r="A235">
        <v>3099</v>
      </c>
    </row>
    <row r="236" spans="1:1" x14ac:dyDescent="0.25">
      <c r="A236">
        <v>3101</v>
      </c>
    </row>
    <row r="237" spans="1:1" x14ac:dyDescent="0.25">
      <c r="A237">
        <v>3102</v>
      </c>
    </row>
    <row r="238" spans="1:1" x14ac:dyDescent="0.25">
      <c r="A238">
        <v>3103</v>
      </c>
    </row>
    <row r="239" spans="1:1" x14ac:dyDescent="0.25">
      <c r="A239">
        <v>3109</v>
      </c>
    </row>
    <row r="240" spans="1:1" x14ac:dyDescent="0.25">
      <c r="A240">
        <v>3211</v>
      </c>
    </row>
    <row r="241" spans="1:1" x14ac:dyDescent="0.25">
      <c r="A241">
        <v>3212</v>
      </c>
    </row>
    <row r="242" spans="1:1" x14ac:dyDescent="0.25">
      <c r="A242">
        <v>3213</v>
      </c>
    </row>
    <row r="243" spans="1:1" x14ac:dyDescent="0.25">
      <c r="A243">
        <v>3220</v>
      </c>
    </row>
    <row r="244" spans="1:1" x14ac:dyDescent="0.25">
      <c r="A244">
        <v>3230</v>
      </c>
    </row>
    <row r="245" spans="1:1" x14ac:dyDescent="0.25">
      <c r="A245">
        <v>3240</v>
      </c>
    </row>
    <row r="246" spans="1:1" x14ac:dyDescent="0.25">
      <c r="A246">
        <v>3250</v>
      </c>
    </row>
    <row r="247" spans="1:1" x14ac:dyDescent="0.25">
      <c r="A247">
        <v>3291</v>
      </c>
    </row>
    <row r="248" spans="1:1" x14ac:dyDescent="0.25">
      <c r="A248">
        <v>3299</v>
      </c>
    </row>
    <row r="249" spans="1:1" x14ac:dyDescent="0.25">
      <c r="A249">
        <v>3311</v>
      </c>
    </row>
    <row r="250" spans="1:1" x14ac:dyDescent="0.25">
      <c r="A250">
        <v>3312</v>
      </c>
    </row>
    <row r="251" spans="1:1" x14ac:dyDescent="0.25">
      <c r="A251">
        <v>3313</v>
      </c>
    </row>
    <row r="252" spans="1:1" x14ac:dyDescent="0.25">
      <c r="A252">
        <v>3314</v>
      </c>
    </row>
    <row r="253" spans="1:1" x14ac:dyDescent="0.25">
      <c r="A253">
        <v>3315</v>
      </c>
    </row>
    <row r="254" spans="1:1" x14ac:dyDescent="0.25">
      <c r="A254">
        <v>3316</v>
      </c>
    </row>
    <row r="255" spans="1:1" x14ac:dyDescent="0.25">
      <c r="A255">
        <v>3317</v>
      </c>
    </row>
    <row r="256" spans="1:1" x14ac:dyDescent="0.25">
      <c r="A256">
        <v>3319</v>
      </c>
    </row>
    <row r="257" spans="1:1" x14ac:dyDescent="0.25">
      <c r="A257">
        <v>3320</v>
      </c>
    </row>
    <row r="258" spans="1:1" x14ac:dyDescent="0.25">
      <c r="A258">
        <v>3511</v>
      </c>
    </row>
    <row r="259" spans="1:1" x14ac:dyDescent="0.25">
      <c r="A259">
        <v>3512</v>
      </c>
    </row>
    <row r="260" spans="1:1" x14ac:dyDescent="0.25">
      <c r="A260">
        <v>3513</v>
      </c>
    </row>
    <row r="261" spans="1:1" x14ac:dyDescent="0.25">
      <c r="A261">
        <v>3514</v>
      </c>
    </row>
    <row r="262" spans="1:1" x14ac:dyDescent="0.25">
      <c r="A262">
        <v>3521</v>
      </c>
    </row>
    <row r="263" spans="1:1" x14ac:dyDescent="0.25">
      <c r="A263">
        <v>3522</v>
      </c>
    </row>
    <row r="264" spans="1:1" x14ac:dyDescent="0.25">
      <c r="A264">
        <v>3523</v>
      </c>
    </row>
    <row r="265" spans="1:1" x14ac:dyDescent="0.25">
      <c r="A265">
        <v>3530</v>
      </c>
    </row>
    <row r="266" spans="1:1" x14ac:dyDescent="0.25">
      <c r="A266">
        <v>3600</v>
      </c>
    </row>
    <row r="267" spans="1:1" x14ac:dyDescent="0.25">
      <c r="A267">
        <v>3700</v>
      </c>
    </row>
    <row r="268" spans="1:1" x14ac:dyDescent="0.25">
      <c r="A268">
        <v>3811</v>
      </c>
    </row>
    <row r="269" spans="1:1" x14ac:dyDescent="0.25">
      <c r="A269">
        <v>3812</v>
      </c>
    </row>
    <row r="270" spans="1:1" x14ac:dyDescent="0.25">
      <c r="A270">
        <v>3821</v>
      </c>
    </row>
    <row r="271" spans="1:1" x14ac:dyDescent="0.25">
      <c r="A271">
        <v>3822</v>
      </c>
    </row>
    <row r="272" spans="1:1" x14ac:dyDescent="0.25">
      <c r="A272">
        <v>3831</v>
      </c>
    </row>
    <row r="273" spans="1:1" x14ac:dyDescent="0.25">
      <c r="A273">
        <v>3832</v>
      </c>
    </row>
    <row r="274" spans="1:1" x14ac:dyDescent="0.25">
      <c r="A274">
        <v>3900</v>
      </c>
    </row>
    <row r="275" spans="1:1" x14ac:dyDescent="0.25">
      <c r="A275">
        <v>4110</v>
      </c>
    </row>
    <row r="276" spans="1:1" x14ac:dyDescent="0.25">
      <c r="A276">
        <v>4120</v>
      </c>
    </row>
    <row r="277" spans="1:1" x14ac:dyDescent="0.25">
      <c r="A277">
        <v>4211</v>
      </c>
    </row>
    <row r="278" spans="1:1" x14ac:dyDescent="0.25">
      <c r="A278">
        <v>4212</v>
      </c>
    </row>
    <row r="279" spans="1:1" x14ac:dyDescent="0.25">
      <c r="A279">
        <v>4213</v>
      </c>
    </row>
    <row r="280" spans="1:1" x14ac:dyDescent="0.25">
      <c r="A280">
        <v>4221</v>
      </c>
    </row>
    <row r="281" spans="1:1" x14ac:dyDescent="0.25">
      <c r="A281">
        <v>4222</v>
      </c>
    </row>
    <row r="282" spans="1:1" x14ac:dyDescent="0.25">
      <c r="A282">
        <v>4291</v>
      </c>
    </row>
    <row r="283" spans="1:1" x14ac:dyDescent="0.25">
      <c r="A283">
        <v>4299</v>
      </c>
    </row>
    <row r="284" spans="1:1" x14ac:dyDescent="0.25">
      <c r="A284">
        <v>4311</v>
      </c>
    </row>
    <row r="285" spans="1:1" x14ac:dyDescent="0.25">
      <c r="A285">
        <v>4312</v>
      </c>
    </row>
    <row r="286" spans="1:1" x14ac:dyDescent="0.25">
      <c r="A286">
        <v>4313</v>
      </c>
    </row>
    <row r="287" spans="1:1" x14ac:dyDescent="0.25">
      <c r="A287">
        <v>4321</v>
      </c>
    </row>
    <row r="288" spans="1:1" x14ac:dyDescent="0.25">
      <c r="A288">
        <v>4322</v>
      </c>
    </row>
    <row r="289" spans="1:1" x14ac:dyDescent="0.25">
      <c r="A289">
        <v>4329</v>
      </c>
    </row>
    <row r="290" spans="1:1" x14ac:dyDescent="0.25">
      <c r="A290">
        <v>4331</v>
      </c>
    </row>
    <row r="291" spans="1:1" x14ac:dyDescent="0.25">
      <c r="A291">
        <v>4332</v>
      </c>
    </row>
    <row r="292" spans="1:1" x14ac:dyDescent="0.25">
      <c r="A292">
        <v>4333</v>
      </c>
    </row>
    <row r="293" spans="1:1" x14ac:dyDescent="0.25">
      <c r="A293">
        <v>4334</v>
      </c>
    </row>
    <row r="294" spans="1:1" x14ac:dyDescent="0.25">
      <c r="A294">
        <v>4339</v>
      </c>
    </row>
    <row r="295" spans="1:1" x14ac:dyDescent="0.25">
      <c r="A295">
        <v>4391</v>
      </c>
    </row>
    <row r="296" spans="1:1" x14ac:dyDescent="0.25">
      <c r="A296">
        <v>4399</v>
      </c>
    </row>
    <row r="297" spans="1:1" x14ac:dyDescent="0.25">
      <c r="A297">
        <v>4511</v>
      </c>
    </row>
    <row r="298" spans="1:1" x14ac:dyDescent="0.25">
      <c r="A298">
        <v>4519</v>
      </c>
    </row>
    <row r="299" spans="1:1" x14ac:dyDescent="0.25">
      <c r="A299">
        <v>4520</v>
      </c>
    </row>
    <row r="300" spans="1:1" x14ac:dyDescent="0.25">
      <c r="A300">
        <v>4531</v>
      </c>
    </row>
    <row r="301" spans="1:1" x14ac:dyDescent="0.25">
      <c r="A301">
        <v>4532</v>
      </c>
    </row>
    <row r="302" spans="1:1" x14ac:dyDescent="0.25">
      <c r="A302">
        <v>4540</v>
      </c>
    </row>
    <row r="303" spans="1:1" x14ac:dyDescent="0.25">
      <c r="A303">
        <v>4611</v>
      </c>
    </row>
    <row r="304" spans="1:1" x14ac:dyDescent="0.25">
      <c r="A304">
        <v>4612</v>
      </c>
    </row>
    <row r="305" spans="1:1" x14ac:dyDescent="0.25">
      <c r="A305">
        <v>4613</v>
      </c>
    </row>
    <row r="306" spans="1:1" x14ac:dyDescent="0.25">
      <c r="A306">
        <v>4614</v>
      </c>
    </row>
    <row r="307" spans="1:1" x14ac:dyDescent="0.25">
      <c r="A307">
        <v>4615</v>
      </c>
    </row>
    <row r="308" spans="1:1" x14ac:dyDescent="0.25">
      <c r="A308">
        <v>4616</v>
      </c>
    </row>
    <row r="309" spans="1:1" x14ac:dyDescent="0.25">
      <c r="A309">
        <v>4617</v>
      </c>
    </row>
    <row r="310" spans="1:1" x14ac:dyDescent="0.25">
      <c r="A310">
        <v>4618</v>
      </c>
    </row>
    <row r="311" spans="1:1" x14ac:dyDescent="0.25">
      <c r="A311">
        <v>4619</v>
      </c>
    </row>
    <row r="312" spans="1:1" x14ac:dyDescent="0.25">
      <c r="A312">
        <v>4621</v>
      </c>
    </row>
    <row r="313" spans="1:1" x14ac:dyDescent="0.25">
      <c r="A313">
        <v>4622</v>
      </c>
    </row>
    <row r="314" spans="1:1" x14ac:dyDescent="0.25">
      <c r="A314">
        <v>4623</v>
      </c>
    </row>
    <row r="315" spans="1:1" x14ac:dyDescent="0.25">
      <c r="A315">
        <v>4624</v>
      </c>
    </row>
    <row r="316" spans="1:1" x14ac:dyDescent="0.25">
      <c r="A316">
        <v>4631</v>
      </c>
    </row>
    <row r="317" spans="1:1" x14ac:dyDescent="0.25">
      <c r="A317">
        <v>4646</v>
      </c>
    </row>
    <row r="318" spans="1:1" x14ac:dyDescent="0.25">
      <c r="A318">
        <v>4647</v>
      </c>
    </row>
    <row r="319" spans="1:1" x14ac:dyDescent="0.25">
      <c r="A319">
        <v>4648</v>
      </c>
    </row>
    <row r="320" spans="1:1" x14ac:dyDescent="0.25">
      <c r="A320">
        <v>4649</v>
      </c>
    </row>
    <row r="321" spans="1:1" x14ac:dyDescent="0.25">
      <c r="A321">
        <v>4651</v>
      </c>
    </row>
    <row r="322" spans="1:1" x14ac:dyDescent="0.25">
      <c r="A322">
        <v>4652</v>
      </c>
    </row>
    <row r="323" spans="1:1" x14ac:dyDescent="0.25">
      <c r="A323">
        <v>4661</v>
      </c>
    </row>
    <row r="324" spans="1:1" x14ac:dyDescent="0.25">
      <c r="A324">
        <v>4662</v>
      </c>
    </row>
    <row r="325" spans="1:1" x14ac:dyDescent="0.25">
      <c r="A325">
        <v>4663</v>
      </c>
    </row>
    <row r="326" spans="1:1" x14ac:dyDescent="0.25">
      <c r="A326">
        <v>4664</v>
      </c>
    </row>
    <row r="327" spans="1:1" x14ac:dyDescent="0.25">
      <c r="A327">
        <v>4665</v>
      </c>
    </row>
    <row r="328" spans="1:1" x14ac:dyDescent="0.25">
      <c r="A328">
        <v>4666</v>
      </c>
    </row>
    <row r="329" spans="1:1" x14ac:dyDescent="0.25">
      <c r="A329">
        <v>4669</v>
      </c>
    </row>
    <row r="330" spans="1:1" x14ac:dyDescent="0.25">
      <c r="A330">
        <v>4671</v>
      </c>
    </row>
    <row r="331" spans="1:1" x14ac:dyDescent="0.25">
      <c r="A331">
        <v>4672</v>
      </c>
    </row>
    <row r="332" spans="1:1" x14ac:dyDescent="0.25">
      <c r="A332">
        <v>4673</v>
      </c>
    </row>
    <row r="333" spans="1:1" x14ac:dyDescent="0.25">
      <c r="A333">
        <v>4674</v>
      </c>
    </row>
    <row r="334" spans="1:1" x14ac:dyDescent="0.25">
      <c r="A334">
        <v>4675</v>
      </c>
    </row>
    <row r="335" spans="1:1" x14ac:dyDescent="0.25">
      <c r="A335">
        <v>4676</v>
      </c>
    </row>
    <row r="336" spans="1:1" x14ac:dyDescent="0.25">
      <c r="A336">
        <v>4677</v>
      </c>
    </row>
    <row r="337" spans="1:1" x14ac:dyDescent="0.25">
      <c r="A337">
        <v>4690</v>
      </c>
    </row>
    <row r="338" spans="1:1" x14ac:dyDescent="0.25">
      <c r="A338">
        <v>4711</v>
      </c>
    </row>
    <row r="339" spans="1:1" x14ac:dyDescent="0.25">
      <c r="A339">
        <v>4719</v>
      </c>
    </row>
    <row r="340" spans="1:1" x14ac:dyDescent="0.25">
      <c r="A340">
        <v>4721</v>
      </c>
    </row>
    <row r="341" spans="1:1" x14ac:dyDescent="0.25">
      <c r="A341">
        <v>4722</v>
      </c>
    </row>
    <row r="342" spans="1:1" x14ac:dyDescent="0.25">
      <c r="A342">
        <v>4723</v>
      </c>
    </row>
    <row r="343" spans="1:1" x14ac:dyDescent="0.25">
      <c r="A343">
        <v>4724</v>
      </c>
    </row>
    <row r="344" spans="1:1" x14ac:dyDescent="0.25">
      <c r="A344">
        <v>4725</v>
      </c>
    </row>
    <row r="345" spans="1:1" x14ac:dyDescent="0.25">
      <c r="A345">
        <v>4726</v>
      </c>
    </row>
    <row r="346" spans="1:1" x14ac:dyDescent="0.25">
      <c r="A346">
        <v>4729</v>
      </c>
    </row>
    <row r="347" spans="1:1" x14ac:dyDescent="0.25">
      <c r="A347">
        <v>4730</v>
      </c>
    </row>
    <row r="348" spans="1:1" x14ac:dyDescent="0.25">
      <c r="A348">
        <v>4741</v>
      </c>
    </row>
    <row r="349" spans="1:1" x14ac:dyDescent="0.25">
      <c r="A349">
        <v>4742</v>
      </c>
    </row>
    <row r="350" spans="1:1" x14ac:dyDescent="0.25">
      <c r="A350">
        <v>4743</v>
      </c>
    </row>
    <row r="351" spans="1:1" x14ac:dyDescent="0.25">
      <c r="A351">
        <v>4751</v>
      </c>
    </row>
    <row r="352" spans="1:1" x14ac:dyDescent="0.25">
      <c r="A352">
        <v>4752</v>
      </c>
    </row>
    <row r="353" spans="1:1" x14ac:dyDescent="0.25">
      <c r="A353">
        <v>4753</v>
      </c>
    </row>
    <row r="354" spans="1:1" x14ac:dyDescent="0.25">
      <c r="A354">
        <v>4754</v>
      </c>
    </row>
    <row r="355" spans="1:1" x14ac:dyDescent="0.25">
      <c r="A355">
        <v>4759</v>
      </c>
    </row>
    <row r="356" spans="1:1" x14ac:dyDescent="0.25">
      <c r="A356">
        <v>4761</v>
      </c>
    </row>
    <row r="357" spans="1:1" x14ac:dyDescent="0.25">
      <c r="A357">
        <v>4762</v>
      </c>
    </row>
    <row r="358" spans="1:1" x14ac:dyDescent="0.25">
      <c r="A358">
        <v>4763</v>
      </c>
    </row>
    <row r="359" spans="1:1" x14ac:dyDescent="0.25">
      <c r="A359">
        <v>4764</v>
      </c>
    </row>
    <row r="360" spans="1:1" x14ac:dyDescent="0.25">
      <c r="A360">
        <v>4765</v>
      </c>
    </row>
    <row r="361" spans="1:1" x14ac:dyDescent="0.25">
      <c r="A361">
        <v>4771</v>
      </c>
    </row>
    <row r="362" spans="1:1" x14ac:dyDescent="0.25">
      <c r="A362">
        <v>4772</v>
      </c>
    </row>
    <row r="363" spans="1:1" x14ac:dyDescent="0.25">
      <c r="A363">
        <v>4773</v>
      </c>
    </row>
    <row r="364" spans="1:1" x14ac:dyDescent="0.25">
      <c r="A364">
        <v>4774</v>
      </c>
    </row>
    <row r="365" spans="1:1" x14ac:dyDescent="0.25">
      <c r="A365">
        <v>4775</v>
      </c>
    </row>
    <row r="366" spans="1:1" x14ac:dyDescent="0.25">
      <c r="A366">
        <v>4776</v>
      </c>
    </row>
    <row r="367" spans="1:1" x14ac:dyDescent="0.25">
      <c r="A367">
        <v>4777</v>
      </c>
    </row>
    <row r="368" spans="1:1" x14ac:dyDescent="0.25">
      <c r="A368">
        <v>4778</v>
      </c>
    </row>
    <row r="369" spans="1:1" x14ac:dyDescent="0.25">
      <c r="A369">
        <v>4779</v>
      </c>
    </row>
    <row r="370" spans="1:1" x14ac:dyDescent="0.25">
      <c r="A370">
        <v>4781</v>
      </c>
    </row>
    <row r="371" spans="1:1" x14ac:dyDescent="0.25">
      <c r="A371">
        <v>4782</v>
      </c>
    </row>
    <row r="372" spans="1:1" x14ac:dyDescent="0.25">
      <c r="A372">
        <v>4789</v>
      </c>
    </row>
    <row r="373" spans="1:1" x14ac:dyDescent="0.25">
      <c r="A373">
        <v>4791</v>
      </c>
    </row>
    <row r="374" spans="1:1" x14ac:dyDescent="0.25">
      <c r="A374">
        <v>4799</v>
      </c>
    </row>
    <row r="375" spans="1:1" x14ac:dyDescent="0.25">
      <c r="A375">
        <v>4910</v>
      </c>
    </row>
    <row r="376" spans="1:1" x14ac:dyDescent="0.25">
      <c r="A376">
        <v>4920</v>
      </c>
    </row>
    <row r="377" spans="1:1" x14ac:dyDescent="0.25">
      <c r="A377">
        <v>4931</v>
      </c>
    </row>
    <row r="378" spans="1:1" x14ac:dyDescent="0.25">
      <c r="A378">
        <v>4932</v>
      </c>
    </row>
    <row r="379" spans="1:1" x14ac:dyDescent="0.25">
      <c r="A379">
        <v>4939</v>
      </c>
    </row>
    <row r="380" spans="1:1" x14ac:dyDescent="0.25">
      <c r="A380">
        <v>4941</v>
      </c>
    </row>
    <row r="381" spans="1:1" x14ac:dyDescent="0.25">
      <c r="A381">
        <v>4942</v>
      </c>
    </row>
    <row r="382" spans="1:1" x14ac:dyDescent="0.25">
      <c r="A382">
        <v>4950</v>
      </c>
    </row>
    <row r="383" spans="1:1" x14ac:dyDescent="0.25">
      <c r="A383">
        <v>5010</v>
      </c>
    </row>
    <row r="384" spans="1:1" x14ac:dyDescent="0.25">
      <c r="A384">
        <v>5020</v>
      </c>
    </row>
    <row r="385" spans="1:1" x14ac:dyDescent="0.25">
      <c r="A385">
        <v>5030</v>
      </c>
    </row>
    <row r="386" spans="1:1" x14ac:dyDescent="0.25">
      <c r="A386">
        <v>5040</v>
      </c>
    </row>
    <row r="387" spans="1:1" x14ac:dyDescent="0.25">
      <c r="A387">
        <v>5110</v>
      </c>
    </row>
    <row r="388" spans="1:1" x14ac:dyDescent="0.25">
      <c r="A388">
        <v>5121</v>
      </c>
    </row>
    <row r="389" spans="1:1" x14ac:dyDescent="0.25">
      <c r="A389">
        <v>5122</v>
      </c>
    </row>
    <row r="390" spans="1:1" x14ac:dyDescent="0.25">
      <c r="A390">
        <v>5210</v>
      </c>
    </row>
    <row r="391" spans="1:1" x14ac:dyDescent="0.25">
      <c r="A391">
        <v>5221</v>
      </c>
    </row>
    <row r="392" spans="1:1" x14ac:dyDescent="0.25">
      <c r="A392">
        <v>5222</v>
      </c>
    </row>
    <row r="393" spans="1:1" x14ac:dyDescent="0.25">
      <c r="A393">
        <v>5223</v>
      </c>
    </row>
    <row r="394" spans="1:1" x14ac:dyDescent="0.25">
      <c r="A394">
        <v>5224</v>
      </c>
    </row>
    <row r="395" spans="1:1" x14ac:dyDescent="0.25">
      <c r="A395">
        <v>5229</v>
      </c>
    </row>
    <row r="396" spans="1:1" x14ac:dyDescent="0.25">
      <c r="A396">
        <v>5310</v>
      </c>
    </row>
    <row r="397" spans="1:1" x14ac:dyDescent="0.25">
      <c r="A397">
        <v>5320</v>
      </c>
    </row>
    <row r="398" spans="1:1" x14ac:dyDescent="0.25">
      <c r="A398">
        <v>5511</v>
      </c>
    </row>
    <row r="399" spans="1:1" x14ac:dyDescent="0.25">
      <c r="A399">
        <v>5512</v>
      </c>
    </row>
    <row r="400" spans="1:1" x14ac:dyDescent="0.25">
      <c r="A400">
        <v>5911</v>
      </c>
    </row>
    <row r="401" spans="1:1" x14ac:dyDescent="0.25">
      <c r="A401">
        <v>5912</v>
      </c>
    </row>
    <row r="402" spans="1:1" x14ac:dyDescent="0.25">
      <c r="A402">
        <v>5913</v>
      </c>
    </row>
    <row r="403" spans="1:1" x14ac:dyDescent="0.25">
      <c r="A403">
        <v>5914</v>
      </c>
    </row>
    <row r="404" spans="1:1" x14ac:dyDescent="0.25">
      <c r="A404">
        <v>5920</v>
      </c>
    </row>
    <row r="405" spans="1:1" x14ac:dyDescent="0.25">
      <c r="A405">
        <v>6010</v>
      </c>
    </row>
    <row r="406" spans="1:1" x14ac:dyDescent="0.25">
      <c r="A406">
        <v>6020</v>
      </c>
    </row>
    <row r="407" spans="1:1" x14ac:dyDescent="0.25">
      <c r="A407">
        <v>6110</v>
      </c>
    </row>
    <row r="408" spans="1:1" x14ac:dyDescent="0.25">
      <c r="A408">
        <v>6120</v>
      </c>
    </row>
    <row r="409" spans="1:1" x14ac:dyDescent="0.25">
      <c r="A409">
        <v>6130</v>
      </c>
    </row>
    <row r="410" spans="1:1" x14ac:dyDescent="0.25">
      <c r="A410">
        <v>6190</v>
      </c>
    </row>
    <row r="411" spans="1:1" x14ac:dyDescent="0.25">
      <c r="A411">
        <v>6201</v>
      </c>
    </row>
    <row r="412" spans="1:1" x14ac:dyDescent="0.25">
      <c r="A412">
        <v>6202</v>
      </c>
    </row>
    <row r="413" spans="1:1" x14ac:dyDescent="0.25">
      <c r="A413">
        <v>6203</v>
      </c>
    </row>
    <row r="414" spans="1:1" x14ac:dyDescent="0.25">
      <c r="A414">
        <v>6209</v>
      </c>
    </row>
    <row r="415" spans="1:1" x14ac:dyDescent="0.25">
      <c r="A415">
        <v>6311</v>
      </c>
    </row>
    <row r="416" spans="1:1" x14ac:dyDescent="0.25">
      <c r="A416">
        <v>6312</v>
      </c>
    </row>
    <row r="417" spans="1:1" x14ac:dyDescent="0.25">
      <c r="A417">
        <v>6391</v>
      </c>
    </row>
    <row r="418" spans="1:1" x14ac:dyDescent="0.25">
      <c r="A418">
        <v>6399</v>
      </c>
    </row>
    <row r="419" spans="1:1" x14ac:dyDescent="0.25">
      <c r="A419">
        <v>6411</v>
      </c>
    </row>
    <row r="420" spans="1:1" x14ac:dyDescent="0.25">
      <c r="A420">
        <v>6419</v>
      </c>
    </row>
    <row r="421" spans="1:1" x14ac:dyDescent="0.25">
      <c r="A421">
        <v>6420</v>
      </c>
    </row>
    <row r="422" spans="1:1" x14ac:dyDescent="0.25">
      <c r="A422">
        <v>6430</v>
      </c>
    </row>
    <row r="423" spans="1:1" x14ac:dyDescent="0.25">
      <c r="A423">
        <v>6491</v>
      </c>
    </row>
    <row r="424" spans="1:1" x14ac:dyDescent="0.25">
      <c r="A424">
        <v>6492</v>
      </c>
    </row>
    <row r="425" spans="1:1" x14ac:dyDescent="0.25">
      <c r="A425">
        <v>6499</v>
      </c>
    </row>
    <row r="426" spans="1:1" x14ac:dyDescent="0.25">
      <c r="A426">
        <v>6511</v>
      </c>
    </row>
    <row r="427" spans="1:1" x14ac:dyDescent="0.25">
      <c r="A427">
        <v>6512</v>
      </c>
    </row>
    <row r="428" spans="1:1" x14ac:dyDescent="0.25">
      <c r="A428">
        <v>6520</v>
      </c>
    </row>
    <row r="429" spans="1:1" x14ac:dyDescent="0.25">
      <c r="A429">
        <v>6530</v>
      </c>
    </row>
    <row r="430" spans="1:1" x14ac:dyDescent="0.25">
      <c r="A430">
        <v>6611</v>
      </c>
    </row>
    <row r="431" spans="1:1" x14ac:dyDescent="0.25">
      <c r="A431">
        <v>6612</v>
      </c>
    </row>
    <row r="432" spans="1:1" x14ac:dyDescent="0.25">
      <c r="A432">
        <v>6619</v>
      </c>
    </row>
    <row r="433" spans="1:1" x14ac:dyDescent="0.25">
      <c r="A433">
        <v>6621</v>
      </c>
    </row>
    <row r="434" spans="1:1" x14ac:dyDescent="0.25">
      <c r="A434">
        <v>6622</v>
      </c>
    </row>
    <row r="435" spans="1:1" x14ac:dyDescent="0.25">
      <c r="A435">
        <v>6629</v>
      </c>
    </row>
    <row r="436" spans="1:1" x14ac:dyDescent="0.25">
      <c r="A436">
        <v>6630</v>
      </c>
    </row>
    <row r="437" spans="1:1" x14ac:dyDescent="0.25">
      <c r="A437">
        <v>6810</v>
      </c>
    </row>
    <row r="438" spans="1:1" x14ac:dyDescent="0.25">
      <c r="A438">
        <v>6820</v>
      </c>
    </row>
    <row r="439" spans="1:1" x14ac:dyDescent="0.25">
      <c r="A439">
        <v>6831</v>
      </c>
    </row>
    <row r="440" spans="1:1" x14ac:dyDescent="0.25">
      <c r="A440">
        <v>6832</v>
      </c>
    </row>
    <row r="441" spans="1:1" x14ac:dyDescent="0.25">
      <c r="A441">
        <v>6910</v>
      </c>
    </row>
    <row r="442" spans="1:1" x14ac:dyDescent="0.25">
      <c r="A442">
        <v>6920</v>
      </c>
    </row>
    <row r="443" spans="1:1" x14ac:dyDescent="0.25">
      <c r="A443">
        <v>7010</v>
      </c>
    </row>
    <row r="444" spans="1:1" x14ac:dyDescent="0.25">
      <c r="A444">
        <v>7021</v>
      </c>
    </row>
    <row r="445" spans="1:1" x14ac:dyDescent="0.25">
      <c r="A445">
        <v>7022</v>
      </c>
    </row>
    <row r="446" spans="1:1" x14ac:dyDescent="0.25">
      <c r="A446">
        <v>7111</v>
      </c>
    </row>
    <row r="447" spans="1:1" x14ac:dyDescent="0.25">
      <c r="A447">
        <v>7112</v>
      </c>
    </row>
    <row r="448" spans="1:1" x14ac:dyDescent="0.25">
      <c r="A448">
        <v>7120</v>
      </c>
    </row>
    <row r="449" spans="1:1" x14ac:dyDescent="0.25">
      <c r="A449">
        <v>7211</v>
      </c>
    </row>
    <row r="450" spans="1:1" x14ac:dyDescent="0.25">
      <c r="A450">
        <v>7219</v>
      </c>
    </row>
    <row r="451" spans="1:1" x14ac:dyDescent="0.25">
      <c r="A451">
        <v>7220</v>
      </c>
    </row>
    <row r="452" spans="1:1" x14ac:dyDescent="0.25">
      <c r="A452">
        <v>7311</v>
      </c>
    </row>
    <row r="453" spans="1:1" x14ac:dyDescent="0.25">
      <c r="A453">
        <v>7312</v>
      </c>
    </row>
    <row r="454" spans="1:1" x14ac:dyDescent="0.25">
      <c r="A454">
        <v>7320</v>
      </c>
    </row>
    <row r="455" spans="1:1" x14ac:dyDescent="0.25">
      <c r="A455">
        <v>7410</v>
      </c>
    </row>
    <row r="456" spans="1:1" x14ac:dyDescent="0.25">
      <c r="A456">
        <v>7420</v>
      </c>
    </row>
    <row r="457" spans="1:1" x14ac:dyDescent="0.25">
      <c r="A457">
        <v>7430</v>
      </c>
    </row>
    <row r="458" spans="1:1" x14ac:dyDescent="0.25">
      <c r="A458">
        <v>7490</v>
      </c>
    </row>
    <row r="459" spans="1:1" x14ac:dyDescent="0.25">
      <c r="A459">
        <v>7500</v>
      </c>
    </row>
    <row r="460" spans="1:1" x14ac:dyDescent="0.25">
      <c r="A460">
        <v>7711</v>
      </c>
    </row>
    <row r="461" spans="1:1" x14ac:dyDescent="0.25">
      <c r="A461">
        <v>7712</v>
      </c>
    </row>
    <row r="462" spans="1:1" x14ac:dyDescent="0.25">
      <c r="A462">
        <v>7721</v>
      </c>
    </row>
    <row r="463" spans="1:1" x14ac:dyDescent="0.25">
      <c r="A463">
        <v>7722</v>
      </c>
    </row>
    <row r="464" spans="1:1" x14ac:dyDescent="0.25">
      <c r="A464">
        <v>7729</v>
      </c>
    </row>
    <row r="465" spans="1:1" x14ac:dyDescent="0.25">
      <c r="A465">
        <v>7731</v>
      </c>
    </row>
    <row r="466" spans="1:1" x14ac:dyDescent="0.25">
      <c r="A466">
        <v>7732</v>
      </c>
    </row>
    <row r="467" spans="1:1" x14ac:dyDescent="0.25">
      <c r="A467">
        <v>7733</v>
      </c>
    </row>
    <row r="468" spans="1:1" x14ac:dyDescent="0.25">
      <c r="A468">
        <v>7734</v>
      </c>
    </row>
    <row r="469" spans="1:1" x14ac:dyDescent="0.25">
      <c r="A469">
        <v>7735</v>
      </c>
    </row>
    <row r="470" spans="1:1" x14ac:dyDescent="0.25">
      <c r="A470">
        <v>7739</v>
      </c>
    </row>
    <row r="471" spans="1:1" x14ac:dyDescent="0.25">
      <c r="A471">
        <v>7740</v>
      </c>
    </row>
    <row r="472" spans="1:1" x14ac:dyDescent="0.25">
      <c r="A472">
        <v>7810</v>
      </c>
    </row>
    <row r="473" spans="1:1" x14ac:dyDescent="0.25">
      <c r="A473">
        <v>7820</v>
      </c>
    </row>
    <row r="474" spans="1:1" x14ac:dyDescent="0.25">
      <c r="A474">
        <v>7830</v>
      </c>
    </row>
    <row r="475" spans="1:1" x14ac:dyDescent="0.25">
      <c r="A475">
        <v>7911</v>
      </c>
    </row>
    <row r="476" spans="1:1" x14ac:dyDescent="0.25">
      <c r="A476">
        <v>7912</v>
      </c>
    </row>
    <row r="477" spans="1:1" x14ac:dyDescent="0.25">
      <c r="A477">
        <v>7990</v>
      </c>
    </row>
    <row r="478" spans="1:1" x14ac:dyDescent="0.25">
      <c r="A478">
        <v>8010</v>
      </c>
    </row>
    <row r="479" spans="1:1" x14ac:dyDescent="0.25">
      <c r="A479">
        <v>8020</v>
      </c>
    </row>
    <row r="480" spans="1:1" x14ac:dyDescent="0.25">
      <c r="A480">
        <v>8030</v>
      </c>
    </row>
    <row r="481" spans="1:1" x14ac:dyDescent="0.25">
      <c r="A481">
        <v>8110</v>
      </c>
    </row>
    <row r="482" spans="1:1" x14ac:dyDescent="0.25">
      <c r="A482">
        <v>8121</v>
      </c>
    </row>
    <row r="483" spans="1:1" x14ac:dyDescent="0.25">
      <c r="A483">
        <v>8122</v>
      </c>
    </row>
    <row r="484" spans="1:1" x14ac:dyDescent="0.25">
      <c r="A484">
        <v>8129</v>
      </c>
    </row>
    <row r="485" spans="1:1" x14ac:dyDescent="0.25">
      <c r="A485">
        <v>8130</v>
      </c>
    </row>
    <row r="486" spans="1:1" x14ac:dyDescent="0.25">
      <c r="A486">
        <v>8211</v>
      </c>
    </row>
    <row r="487" spans="1:1" x14ac:dyDescent="0.25">
      <c r="A487">
        <v>8219</v>
      </c>
    </row>
    <row r="488" spans="1:1" x14ac:dyDescent="0.25">
      <c r="A488">
        <v>8220</v>
      </c>
    </row>
    <row r="489" spans="1:1" x14ac:dyDescent="0.25">
      <c r="A489">
        <v>8230</v>
      </c>
    </row>
    <row r="490" spans="1:1" x14ac:dyDescent="0.25">
      <c r="A490">
        <v>8291</v>
      </c>
    </row>
    <row r="491" spans="1:1" x14ac:dyDescent="0.25">
      <c r="A491">
        <v>8292</v>
      </c>
    </row>
    <row r="492" spans="1:1" x14ac:dyDescent="0.25">
      <c r="A492">
        <v>8299</v>
      </c>
    </row>
    <row r="493" spans="1:1" x14ac:dyDescent="0.25">
      <c r="A493">
        <v>8411</v>
      </c>
    </row>
    <row r="494" spans="1:1" x14ac:dyDescent="0.25">
      <c r="A494">
        <v>8412</v>
      </c>
    </row>
    <row r="495" spans="1:1" x14ac:dyDescent="0.25">
      <c r="A495">
        <v>8413</v>
      </c>
    </row>
    <row r="496" spans="1:1" x14ac:dyDescent="0.25">
      <c r="A496">
        <v>8421</v>
      </c>
    </row>
    <row r="497" spans="1:1" x14ac:dyDescent="0.25">
      <c r="A497">
        <v>8422</v>
      </c>
    </row>
    <row r="498" spans="1:1" x14ac:dyDescent="0.25">
      <c r="A498">
        <v>8423</v>
      </c>
    </row>
    <row r="499" spans="1:1" x14ac:dyDescent="0.25">
      <c r="A499">
        <v>8424</v>
      </c>
    </row>
    <row r="500" spans="1:1" x14ac:dyDescent="0.25">
      <c r="A500">
        <v>8425</v>
      </c>
    </row>
    <row r="501" spans="1:1" x14ac:dyDescent="0.25">
      <c r="A501">
        <v>8430</v>
      </c>
    </row>
    <row r="502" spans="1:1" x14ac:dyDescent="0.25">
      <c r="A502">
        <v>8510</v>
      </c>
    </row>
    <row r="503" spans="1:1" x14ac:dyDescent="0.25">
      <c r="A503">
        <v>8520</v>
      </c>
    </row>
    <row r="504" spans="1:1" x14ac:dyDescent="0.25">
      <c r="A504">
        <v>8531</v>
      </c>
    </row>
    <row r="505" spans="1:1" x14ac:dyDescent="0.25">
      <c r="A505">
        <v>8532</v>
      </c>
    </row>
    <row r="506" spans="1:1" x14ac:dyDescent="0.25">
      <c r="A506">
        <v>8541</v>
      </c>
    </row>
    <row r="507" spans="1:1" x14ac:dyDescent="0.25">
      <c r="A507">
        <v>8542</v>
      </c>
    </row>
    <row r="508" spans="1:1" x14ac:dyDescent="0.25">
      <c r="A508">
        <v>8551</v>
      </c>
    </row>
    <row r="509" spans="1:1" x14ac:dyDescent="0.25">
      <c r="A509">
        <v>8552</v>
      </c>
    </row>
    <row r="510" spans="1:1" x14ac:dyDescent="0.25">
      <c r="A510">
        <v>8553</v>
      </c>
    </row>
    <row r="511" spans="1:1" x14ac:dyDescent="0.25">
      <c r="A511">
        <v>8559</v>
      </c>
    </row>
    <row r="512" spans="1:1" x14ac:dyDescent="0.25">
      <c r="A512">
        <v>8560</v>
      </c>
    </row>
    <row r="513" spans="1:1" x14ac:dyDescent="0.25">
      <c r="A513">
        <v>8610</v>
      </c>
    </row>
    <row r="514" spans="1:1" x14ac:dyDescent="0.25">
      <c r="A514">
        <v>8621</v>
      </c>
    </row>
    <row r="515" spans="1:1" x14ac:dyDescent="0.25">
      <c r="A515">
        <v>8622</v>
      </c>
    </row>
    <row r="516" spans="1:1" x14ac:dyDescent="0.25">
      <c r="A516">
        <v>8623</v>
      </c>
    </row>
    <row r="517" spans="1:1" x14ac:dyDescent="0.25">
      <c r="A517">
        <v>8690</v>
      </c>
    </row>
    <row r="518" spans="1:1" x14ac:dyDescent="0.25">
      <c r="A518">
        <v>8710</v>
      </c>
    </row>
    <row r="519" spans="1:1" x14ac:dyDescent="0.25">
      <c r="A519">
        <v>8720</v>
      </c>
    </row>
    <row r="520" spans="1:1" x14ac:dyDescent="0.25">
      <c r="A520">
        <v>8730</v>
      </c>
    </row>
    <row r="521" spans="1:1" x14ac:dyDescent="0.25">
      <c r="A521">
        <v>9001</v>
      </c>
    </row>
    <row r="522" spans="1:1" x14ac:dyDescent="0.25">
      <c r="A522">
        <v>9002</v>
      </c>
    </row>
    <row r="523" spans="1:1" x14ac:dyDescent="0.25">
      <c r="A523">
        <v>9003</v>
      </c>
    </row>
    <row r="524" spans="1:1" x14ac:dyDescent="0.25">
      <c r="A524">
        <v>9004</v>
      </c>
    </row>
    <row r="525" spans="1:1" x14ac:dyDescent="0.25">
      <c r="A525">
        <v>9101</v>
      </c>
    </row>
    <row r="526" spans="1:1" x14ac:dyDescent="0.25">
      <c r="A526">
        <v>9102</v>
      </c>
    </row>
    <row r="527" spans="1:1" x14ac:dyDescent="0.25">
      <c r="A527">
        <v>9103</v>
      </c>
    </row>
    <row r="528" spans="1:1" x14ac:dyDescent="0.25">
      <c r="A528">
        <v>9104</v>
      </c>
    </row>
    <row r="529" spans="1:1" x14ac:dyDescent="0.25">
      <c r="A529">
        <v>9200</v>
      </c>
    </row>
    <row r="530" spans="1:1" x14ac:dyDescent="0.25">
      <c r="A530">
        <v>9311</v>
      </c>
    </row>
    <row r="531" spans="1:1" x14ac:dyDescent="0.25">
      <c r="A531">
        <v>9312</v>
      </c>
    </row>
    <row r="532" spans="1:1" x14ac:dyDescent="0.25">
      <c r="A532">
        <v>9313</v>
      </c>
    </row>
    <row r="533" spans="1:1" x14ac:dyDescent="0.25">
      <c r="A533">
        <v>9319</v>
      </c>
    </row>
    <row r="534" spans="1:1" x14ac:dyDescent="0.25">
      <c r="A534">
        <v>9321</v>
      </c>
    </row>
    <row r="535" spans="1:1" x14ac:dyDescent="0.25">
      <c r="A535">
        <v>9329</v>
      </c>
    </row>
    <row r="536" spans="1:1" x14ac:dyDescent="0.25">
      <c r="A536">
        <v>9411</v>
      </c>
    </row>
    <row r="537" spans="1:1" x14ac:dyDescent="0.25">
      <c r="A537">
        <v>9412</v>
      </c>
    </row>
    <row r="538" spans="1:1" x14ac:dyDescent="0.25">
      <c r="A538">
        <v>9420</v>
      </c>
    </row>
    <row r="539" spans="1:1" x14ac:dyDescent="0.25">
      <c r="A539">
        <v>9491</v>
      </c>
    </row>
    <row r="540" spans="1:1" x14ac:dyDescent="0.25">
      <c r="A540">
        <v>9492</v>
      </c>
    </row>
    <row r="541" spans="1:1" x14ac:dyDescent="0.25">
      <c r="A541">
        <v>9499</v>
      </c>
    </row>
    <row r="542" spans="1:1" x14ac:dyDescent="0.25">
      <c r="A542">
        <v>9511</v>
      </c>
    </row>
    <row r="543" spans="1:1" x14ac:dyDescent="0.25">
      <c r="A543">
        <v>9512</v>
      </c>
    </row>
    <row r="544" spans="1:1" x14ac:dyDescent="0.25">
      <c r="A544">
        <v>9521</v>
      </c>
    </row>
    <row r="545" spans="1:1" x14ac:dyDescent="0.25">
      <c r="A545">
        <v>9522</v>
      </c>
    </row>
    <row r="546" spans="1:1" x14ac:dyDescent="0.25">
      <c r="A546">
        <v>9523</v>
      </c>
    </row>
    <row r="547" spans="1:1" x14ac:dyDescent="0.25">
      <c r="A547">
        <v>9524</v>
      </c>
    </row>
    <row r="548" spans="1:1" x14ac:dyDescent="0.25">
      <c r="A548">
        <v>9525</v>
      </c>
    </row>
    <row r="549" spans="1:1" x14ac:dyDescent="0.25">
      <c r="A549">
        <v>9529</v>
      </c>
    </row>
    <row r="550" spans="1:1" x14ac:dyDescent="0.25">
      <c r="A550">
        <v>9601</v>
      </c>
    </row>
    <row r="551" spans="1:1" x14ac:dyDescent="0.25">
      <c r="A551">
        <v>9602</v>
      </c>
    </row>
    <row r="552" spans="1:1" x14ac:dyDescent="0.25">
      <c r="A552">
        <v>9603</v>
      </c>
    </row>
    <row r="553" spans="1:1" x14ac:dyDescent="0.25">
      <c r="A553">
        <v>9604</v>
      </c>
    </row>
    <row r="554" spans="1:1" x14ac:dyDescent="0.25">
      <c r="A554">
        <v>9609</v>
      </c>
    </row>
    <row r="555" spans="1:1" x14ac:dyDescent="0.25">
      <c r="A555">
        <v>9700</v>
      </c>
    </row>
    <row r="556" spans="1:1" x14ac:dyDescent="0.25">
      <c r="A556">
        <v>9810</v>
      </c>
    </row>
    <row r="557" spans="1:1" x14ac:dyDescent="0.25">
      <c r="A557">
        <v>9820</v>
      </c>
    </row>
    <row r="558" spans="1:1" x14ac:dyDescent="0.25">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M3" sqref="M3"/>
    </sheetView>
  </sheetViews>
  <sheetFormatPr defaultColWidth="0" defaultRowHeight="0" customHeight="1" zeroHeight="1" x14ac:dyDescent="0.2"/>
  <cols>
    <col min="1" max="1" width="0.85546875" style="5" customWidth="1"/>
    <col min="2" max="2" width="5" style="5" customWidth="1"/>
    <col min="3" max="3" width="43.85546875" style="5" bestFit="1" customWidth="1"/>
    <col min="4" max="4" width="12.85546875" style="5" customWidth="1"/>
    <col min="5" max="10" width="10.85546875" style="5" customWidth="1"/>
    <col min="11" max="12" width="9.140625" style="5" hidden="1" customWidth="1"/>
    <col min="13" max="13" width="9.140625" style="5" customWidth="1"/>
    <col min="14" max="15" width="9.140625" style="5" hidden="1" customWidth="1"/>
    <col min="16" max="17" width="0" style="5" hidden="1" customWidth="1"/>
    <col min="18" max="19" width="9.140625" style="5" hidden="1" customWidth="1"/>
    <col min="20" max="20" width="0" style="5" hidden="1" customWidth="1"/>
    <col min="21" max="16384" width="9.140625" style="5" hidden="1"/>
  </cols>
  <sheetData>
    <row r="1" spans="1:15" ht="12.75" x14ac:dyDescent="0.2">
      <c r="C1" s="55"/>
      <c r="D1" s="360"/>
      <c r="E1" s="366"/>
    </row>
    <row r="2" spans="1:15" s="195" customFormat="1" ht="20.25" customHeight="1" x14ac:dyDescent="0.25">
      <c r="C2" s="196" t="s">
        <v>715</v>
      </c>
      <c r="D2" s="303"/>
      <c r="E2" s="303"/>
      <c r="F2" s="303"/>
      <c r="G2" s="303"/>
      <c r="H2" s="303"/>
      <c r="I2" s="303"/>
      <c r="J2" s="303"/>
      <c r="K2" s="197"/>
      <c r="L2" s="197"/>
    </row>
    <row r="3" spans="1:15" ht="12.75" x14ac:dyDescent="0.2"/>
    <row r="4" spans="1:15" ht="13.5" thickBot="1" x14ac:dyDescent="0.25">
      <c r="C4" s="82" t="str">
        <f>+Capa!C13</f>
        <v>Gaming’Us</v>
      </c>
      <c r="D4" s="37"/>
      <c r="E4" s="39">
        <f>+AnoN</f>
        <v>2023</v>
      </c>
      <c r="F4" s="39">
        <f>+E4+1</f>
        <v>2024</v>
      </c>
      <c r="G4" s="39">
        <f t="shared" ref="G4:J5" si="0">+F4+1</f>
        <v>2025</v>
      </c>
      <c r="H4" s="39">
        <f t="shared" si="0"/>
        <v>2026</v>
      </c>
      <c r="I4" s="39">
        <f t="shared" si="0"/>
        <v>2027</v>
      </c>
      <c r="J4" s="39">
        <f t="shared" si="0"/>
        <v>2028</v>
      </c>
      <c r="K4" s="39">
        <f t="shared" ref="K4:L5" si="1">+J4+1</f>
        <v>2029</v>
      </c>
      <c r="L4" s="39">
        <f t="shared" si="1"/>
        <v>2030</v>
      </c>
    </row>
    <row r="5" spans="1:15" s="249" customFormat="1" ht="6.75" customHeight="1" thickTop="1" x14ac:dyDescent="0.25">
      <c r="D5" s="837"/>
      <c r="E5" s="249">
        <v>1</v>
      </c>
      <c r="F5" s="249">
        <f>+E5+1</f>
        <v>2</v>
      </c>
      <c r="G5" s="249">
        <f t="shared" si="0"/>
        <v>3</v>
      </c>
      <c r="H5" s="249">
        <f t="shared" si="0"/>
        <v>4</v>
      </c>
      <c r="I5" s="249">
        <f t="shared" si="0"/>
        <v>5</v>
      </c>
      <c r="J5" s="249">
        <f t="shared" si="0"/>
        <v>6</v>
      </c>
      <c r="K5" s="249">
        <f t="shared" si="1"/>
        <v>7</v>
      </c>
      <c r="L5" s="249">
        <f t="shared" si="1"/>
        <v>8</v>
      </c>
    </row>
    <row r="6" spans="1:15" s="79" customFormat="1" ht="21" customHeight="1" x14ac:dyDescent="0.25">
      <c r="A6" s="78"/>
      <c r="B6" s="198"/>
      <c r="C6" s="395" t="s">
        <v>359</v>
      </c>
      <c r="D6" s="282"/>
      <c r="E6" s="282">
        <f ca="1">+SUM(E7:E8)</f>
        <v>0</v>
      </c>
      <c r="F6" s="282">
        <f t="shared" ref="F6:J6" ca="1" si="2">+SUM(F7:F8)</f>
        <v>0</v>
      </c>
      <c r="G6" s="282">
        <f t="shared" ca="1" si="2"/>
        <v>0</v>
      </c>
      <c r="H6" s="282">
        <f t="shared" ca="1" si="2"/>
        <v>0</v>
      </c>
      <c r="I6" s="282">
        <f t="shared" ca="1" si="2"/>
        <v>0</v>
      </c>
      <c r="J6" s="282">
        <f t="shared" ca="1" si="2"/>
        <v>0</v>
      </c>
    </row>
    <row r="7" spans="1:15" s="79" customFormat="1" ht="21" customHeight="1" x14ac:dyDescent="0.25">
      <c r="A7" s="78"/>
      <c r="B7" s="198"/>
      <c r="C7" s="455" t="s">
        <v>410</v>
      </c>
      <c r="D7" s="283"/>
      <c r="E7" s="193">
        <f t="shared" ref="E7:J7" si="3">+SUMIFS(E$29:E$1016,$C$29:$C$1016,"Capital em dívida no final do período",$B$29:$B$1016,"MLP")</f>
        <v>0</v>
      </c>
      <c r="F7" s="193">
        <f t="shared" si="3"/>
        <v>0</v>
      </c>
      <c r="G7" s="193">
        <f t="shared" si="3"/>
        <v>0</v>
      </c>
      <c r="H7" s="193">
        <f t="shared" si="3"/>
        <v>0</v>
      </c>
      <c r="I7" s="193">
        <f t="shared" si="3"/>
        <v>0</v>
      </c>
      <c r="J7" s="193">
        <f t="shared" si="3"/>
        <v>0</v>
      </c>
    </row>
    <row r="8" spans="1:15" s="79" customFormat="1" ht="21" customHeight="1" x14ac:dyDescent="0.25">
      <c r="A8" s="78"/>
      <c r="B8" s="198"/>
      <c r="C8" s="455" t="s">
        <v>411</v>
      </c>
      <c r="D8" s="283"/>
      <c r="E8" s="193">
        <f t="shared" ref="E8:J8" ca="1" si="4">+SUMIFS(E$29:E$1016,$C$29:$C$1016,"Capital em dívida no final do período",$B$29:$B$1016,"CP")+E20</f>
        <v>0</v>
      </c>
      <c r="F8" s="193">
        <f t="shared" ca="1" si="4"/>
        <v>0</v>
      </c>
      <c r="G8" s="193">
        <f t="shared" ca="1" si="4"/>
        <v>0</v>
      </c>
      <c r="H8" s="193">
        <f t="shared" ca="1" si="4"/>
        <v>0</v>
      </c>
      <c r="I8" s="193">
        <f t="shared" ca="1" si="4"/>
        <v>0</v>
      </c>
      <c r="J8" s="193">
        <f t="shared" ca="1" si="4"/>
        <v>0</v>
      </c>
    </row>
    <row r="9" spans="1:15" s="79" customFormat="1" ht="21" customHeight="1" x14ac:dyDescent="0.25">
      <c r="A9" s="78"/>
      <c r="B9" s="78"/>
      <c r="C9" s="516" t="s">
        <v>423</v>
      </c>
      <c r="D9" s="282"/>
      <c r="E9" s="282">
        <f>+SUM(E10:E11)</f>
        <v>0</v>
      </c>
      <c r="F9" s="282">
        <f t="shared" ref="F9:J9" ca="1" si="5">+SUM(F10:F11)</f>
        <v>0</v>
      </c>
      <c r="G9" s="282">
        <f t="shared" ca="1" si="5"/>
        <v>0</v>
      </c>
      <c r="H9" s="282">
        <f t="shared" ca="1" si="5"/>
        <v>0</v>
      </c>
      <c r="I9" s="282">
        <f t="shared" ca="1" si="5"/>
        <v>0</v>
      </c>
      <c r="J9" s="282">
        <f t="shared" ca="1" si="5"/>
        <v>0</v>
      </c>
    </row>
    <row r="10" spans="1:15" s="79" customFormat="1" ht="21" customHeight="1" x14ac:dyDescent="0.25">
      <c r="A10" s="78"/>
      <c r="B10" s="78"/>
      <c r="C10" s="455" t="s">
        <v>353</v>
      </c>
      <c r="D10" s="283"/>
      <c r="E10" s="193">
        <f t="shared" ref="E10:J10" si="6">+SUMIFS(E$29:E$1016,$C$29:$C$1016,"Amortização de dívida",$B$29:$B$1016,"MLP")</f>
        <v>0</v>
      </c>
      <c r="F10" s="193">
        <f t="shared" si="6"/>
        <v>0</v>
      </c>
      <c r="G10" s="193">
        <f t="shared" si="6"/>
        <v>0</v>
      </c>
      <c r="H10" s="193">
        <f t="shared" si="6"/>
        <v>0</v>
      </c>
      <c r="I10" s="193">
        <f t="shared" si="6"/>
        <v>0</v>
      </c>
      <c r="J10" s="193">
        <f t="shared" si="6"/>
        <v>0</v>
      </c>
    </row>
    <row r="11" spans="1:15" s="79" customFormat="1" ht="21" customHeight="1" x14ac:dyDescent="0.25">
      <c r="A11" s="78"/>
      <c r="B11" s="78"/>
      <c r="C11" s="455" t="s">
        <v>339</v>
      </c>
      <c r="D11" s="283"/>
      <c r="E11" s="193">
        <f t="shared" ref="E11:J11" si="7">+SUMIFS(E$29:E$1016,$C$29:$C$1016,"Amortização de dívida",$B$29:$B$1016,"CP")+E19</f>
        <v>0</v>
      </c>
      <c r="F11" s="193">
        <f t="shared" ca="1" si="7"/>
        <v>0</v>
      </c>
      <c r="G11" s="193">
        <f t="shared" ca="1" si="7"/>
        <v>0</v>
      </c>
      <c r="H11" s="193">
        <f t="shared" ca="1" si="7"/>
        <v>0</v>
      </c>
      <c r="I11" s="193">
        <f t="shared" ca="1" si="7"/>
        <v>0</v>
      </c>
      <c r="J11" s="193">
        <f t="shared" ca="1" si="7"/>
        <v>0</v>
      </c>
    </row>
    <row r="12" spans="1:15" s="79" customFormat="1" ht="21" customHeight="1" x14ac:dyDescent="0.25">
      <c r="A12" s="78"/>
      <c r="B12" s="78"/>
      <c r="C12" s="395" t="s">
        <v>188</v>
      </c>
      <c r="D12" s="282"/>
      <c r="E12" s="282">
        <f t="shared" ref="E12:J12" ca="1" si="8">+SUMIF($C$29:$C$10016,"Juros e Gastos Similares Suportados",E$29:E$1016)+E21</f>
        <v>0</v>
      </c>
      <c r="F12" s="282">
        <f t="shared" ca="1" si="8"/>
        <v>0</v>
      </c>
      <c r="G12" s="282">
        <f t="shared" ca="1" si="8"/>
        <v>0</v>
      </c>
      <c r="H12" s="282">
        <f t="shared" ca="1" si="8"/>
        <v>0</v>
      </c>
      <c r="I12" s="282">
        <f t="shared" ca="1" si="8"/>
        <v>0</v>
      </c>
      <c r="J12" s="282">
        <f t="shared" ca="1" si="8"/>
        <v>0</v>
      </c>
      <c r="K12" s="282">
        <f ca="1">+SUMIF($C$29:$C$10016,"Juros e Gastos Similares Suportados",K$29:K$1016)</f>
        <v>0</v>
      </c>
      <c r="L12" s="282">
        <f ca="1">+SUMIF($C$29:$C$10016,"Juros e Gastos Similares Suportados",L$29:L$1016)</f>
        <v>0</v>
      </c>
    </row>
    <row r="13" spans="1:15" ht="8.25" customHeight="1" x14ac:dyDescent="0.2">
      <c r="C13" s="518"/>
      <c r="D13" s="519"/>
      <c r="E13" s="517"/>
      <c r="F13" s="517"/>
      <c r="G13" s="517"/>
      <c r="H13" s="517"/>
      <c r="I13" s="517"/>
      <c r="J13" s="517"/>
      <c r="K13" s="517"/>
      <c r="L13" s="517"/>
    </row>
    <row r="14" spans="1:15" ht="17.25" customHeight="1" x14ac:dyDescent="0.2">
      <c r="C14" s="502" t="s">
        <v>450</v>
      </c>
      <c r="D14" s="60"/>
      <c r="E14" s="60"/>
      <c r="F14" s="60"/>
      <c r="G14" s="60"/>
      <c r="H14" s="60"/>
      <c r="I14" s="60"/>
      <c r="J14" s="75"/>
      <c r="K14" s="75"/>
      <c r="L14" s="75"/>
    </row>
    <row r="15" spans="1:15" ht="17.25" customHeight="1" x14ac:dyDescent="0.2">
      <c r="C15" s="19" t="s">
        <v>111</v>
      </c>
      <c r="E15" s="260" t="str">
        <f ca="1">+'8. Mapa de tesouraria'!E60</f>
        <v>0</v>
      </c>
      <c r="F15" s="260" t="str">
        <f ca="1">+'8. Mapa de tesouraria'!F60</f>
        <v>0</v>
      </c>
      <c r="G15" s="260" t="str">
        <f ca="1">+'8. Mapa de tesouraria'!G60</f>
        <v>0</v>
      </c>
      <c r="H15" s="260" t="str">
        <f ca="1">+'8. Mapa de tesouraria'!H60</f>
        <v>0</v>
      </c>
      <c r="I15" s="260" t="str">
        <f ca="1">+'8. Mapa de tesouraria'!I60</f>
        <v>0</v>
      </c>
      <c r="J15" s="260" t="str">
        <f ca="1">+'8. Mapa de tesouraria'!J60</f>
        <v>0</v>
      </c>
      <c r="K15" s="34"/>
      <c r="L15" s="34"/>
      <c r="O15" s="77"/>
    </row>
    <row r="16" spans="1:15" ht="17.25" customHeight="1" x14ac:dyDescent="0.2">
      <c r="B16" s="55"/>
      <c r="C16" s="19" t="s">
        <v>110</v>
      </c>
      <c r="D16" s="667">
        <f>+Pressupostos!E241</f>
        <v>0</v>
      </c>
      <c r="E16" s="34"/>
      <c r="F16" s="34"/>
      <c r="G16" s="34"/>
      <c r="H16" s="34"/>
      <c r="I16" s="34"/>
      <c r="J16" s="34"/>
      <c r="K16" s="34"/>
      <c r="L16" s="34"/>
      <c r="O16" s="77"/>
    </row>
    <row r="17" spans="2:15" ht="17.25" customHeight="1" x14ac:dyDescent="0.2">
      <c r="C17" s="502" t="s">
        <v>65</v>
      </c>
      <c r="D17" s="60"/>
      <c r="E17" s="60"/>
      <c r="F17" s="60"/>
      <c r="G17" s="60"/>
      <c r="H17" s="60"/>
      <c r="I17" s="60"/>
      <c r="J17" s="75"/>
      <c r="K17" s="75"/>
      <c r="L17" s="75"/>
    </row>
    <row r="18" spans="2:15" ht="17.25" customHeight="1" x14ac:dyDescent="0.2">
      <c r="B18" s="250" t="s">
        <v>286</v>
      </c>
      <c r="C18" s="19" t="s">
        <v>22</v>
      </c>
      <c r="D18" s="63"/>
      <c r="E18" s="260">
        <v>0</v>
      </c>
      <c r="F18" s="260">
        <f ca="1">+E20</f>
        <v>0</v>
      </c>
      <c r="G18" s="260">
        <f t="shared" ref="G18:J18" ca="1" si="9">+F20</f>
        <v>0</v>
      </c>
      <c r="H18" s="260">
        <f t="shared" ca="1" si="9"/>
        <v>0</v>
      </c>
      <c r="I18" s="260">
        <f t="shared" ca="1" si="9"/>
        <v>0</v>
      </c>
      <c r="J18" s="260">
        <f t="shared" ca="1" si="9"/>
        <v>0</v>
      </c>
      <c r="K18" s="264">
        <f ca="1">IF($D$25&gt;$H$4,0,IF($D$25=$H$4,$D$24,IF($D$25&lt;$H$4,J20,0)))</f>
        <v>0</v>
      </c>
      <c r="L18" s="264">
        <f ca="1">IF($D$25&gt;$H$4,0,IF($D$25=$H$4,$D$24,IF($D$25&lt;$H$4,K20,0)))</f>
        <v>0</v>
      </c>
    </row>
    <row r="19" spans="2:15" ht="17.25" customHeight="1" x14ac:dyDescent="0.2">
      <c r="B19" s="250" t="s">
        <v>286</v>
      </c>
      <c r="C19" s="19" t="s">
        <v>23</v>
      </c>
      <c r="D19" s="64"/>
      <c r="E19" s="260">
        <f>+D15</f>
        <v>0</v>
      </c>
      <c r="F19" s="260" t="str">
        <f t="shared" ref="F19:J19" ca="1" si="10">+E15</f>
        <v>0</v>
      </c>
      <c r="G19" s="260" t="str">
        <f t="shared" ca="1" si="10"/>
        <v>0</v>
      </c>
      <c r="H19" s="260" t="str">
        <f t="shared" ca="1" si="10"/>
        <v>0</v>
      </c>
      <c r="I19" s="260" t="str">
        <f t="shared" ca="1" si="10"/>
        <v>0</v>
      </c>
      <c r="J19" s="260" t="str">
        <f t="shared" ca="1" si="10"/>
        <v>0</v>
      </c>
      <c r="K19" s="51">
        <f ca="1">+IF(K$4&lt;$D$25,0,IF(K$4-($D$25+$D$27)&lt;0,0,MIN($D$24/$D$26,$D$24-SUM($D19:J19))))</f>
        <v>0</v>
      </c>
      <c r="L19" s="51">
        <f ca="1">+IF(L$4&lt;$D$25,0,IF(L$4-($D$25+$D$27)&lt;0,0,MIN($D$24/$D$26,$D$24-SUM($D19:K19))))</f>
        <v>0</v>
      </c>
    </row>
    <row r="20" spans="2:15" ht="17.25" customHeight="1" x14ac:dyDescent="0.2">
      <c r="B20" s="250" t="s">
        <v>286</v>
      </c>
      <c r="C20" s="19" t="s">
        <v>24</v>
      </c>
      <c r="D20" s="64"/>
      <c r="E20" s="260">
        <f ca="1">+E19-E18+E15</f>
        <v>0</v>
      </c>
      <c r="F20" s="260">
        <f t="shared" ref="F20:I20" ca="1" si="11">+F19-F18+F15</f>
        <v>0</v>
      </c>
      <c r="G20" s="260">
        <f t="shared" ca="1" si="11"/>
        <v>0</v>
      </c>
      <c r="H20" s="260">
        <f t="shared" ca="1" si="11"/>
        <v>0</v>
      </c>
      <c r="I20" s="260">
        <f t="shared" ca="1" si="11"/>
        <v>0</v>
      </c>
      <c r="J20" s="260">
        <f t="shared" ref="J20" ca="1" si="12">+J19-J18+J15</f>
        <v>0</v>
      </c>
      <c r="K20" s="264">
        <f ca="1">+K18-K19</f>
        <v>0</v>
      </c>
      <c r="L20" s="264">
        <f ca="1">+L18-L19</f>
        <v>0</v>
      </c>
    </row>
    <row r="21" spans="2:15" ht="17.25" customHeight="1" x14ac:dyDescent="0.2">
      <c r="C21" s="503" t="s">
        <v>188</v>
      </c>
      <c r="D21" s="266"/>
      <c r="E21" s="260">
        <f>+E18*($D$16*(1+Pressupostos!$D$21))</f>
        <v>0</v>
      </c>
      <c r="F21" s="260">
        <f ca="1">+F18*($D$16*(1+Pressupostos!$D$21))</f>
        <v>0</v>
      </c>
      <c r="G21" s="260">
        <f ca="1">+G18*($D$16*(1+Pressupostos!$D$21))</f>
        <v>0</v>
      </c>
      <c r="H21" s="260">
        <f ca="1">+H18*($D$16*(1+Pressupostos!$D$21))</f>
        <v>0</v>
      </c>
      <c r="I21" s="260">
        <f ca="1">+I18*($D$16*(1+Pressupostos!$D$21))</f>
        <v>0</v>
      </c>
      <c r="J21" s="260">
        <f ca="1">+J18*($D$16*(1+Pressupostos!$D$21))</f>
        <v>0</v>
      </c>
      <c r="K21" s="267">
        <f t="shared" ref="K21:L21" ca="1" si="13">+K18*$D$28</f>
        <v>0</v>
      </c>
      <c r="L21" s="267">
        <f t="shared" ca="1" si="13"/>
        <v>0</v>
      </c>
    </row>
    <row r="22" spans="2:15" s="249" customFormat="1" ht="6.75" customHeight="1" x14ac:dyDescent="0.25"/>
    <row r="23" spans="2:15" ht="17.25" customHeight="1" x14ac:dyDescent="0.2">
      <c r="B23" s="249"/>
      <c r="C23" s="501" t="s">
        <v>545</v>
      </c>
      <c r="D23" s="452" t="str">
        <f>+Pressupostos!D282</f>
        <v>CP</v>
      </c>
      <c r="E23" s="583"/>
      <c r="F23" s="76"/>
      <c r="G23" s="76"/>
      <c r="H23" s="76"/>
      <c r="I23" s="76"/>
      <c r="J23" s="76"/>
      <c r="K23" s="76"/>
      <c r="L23" s="76"/>
    </row>
    <row r="24" spans="2:15" ht="17.25" customHeight="1" x14ac:dyDescent="0.2">
      <c r="C24" s="19" t="s">
        <v>111</v>
      </c>
      <c r="D24" s="260">
        <f>+Pressupostos!D284</f>
        <v>0</v>
      </c>
      <c r="E24" s="261"/>
      <c r="F24" s="34"/>
      <c r="G24" s="34"/>
      <c r="H24" s="34"/>
      <c r="I24" s="34"/>
      <c r="J24" s="34"/>
      <c r="K24" s="34"/>
      <c r="L24" s="34"/>
      <c r="O24" s="77"/>
    </row>
    <row r="25" spans="2:15" ht="17.25" customHeight="1" x14ac:dyDescent="0.2">
      <c r="C25" s="19" t="s">
        <v>363</v>
      </c>
      <c r="D25" s="262">
        <f>+Pressupostos!D283</f>
        <v>0</v>
      </c>
      <c r="E25" s="41"/>
      <c r="F25" s="34"/>
      <c r="G25" s="34"/>
      <c r="H25" s="34"/>
      <c r="I25" s="34"/>
      <c r="J25" s="34"/>
      <c r="K25" s="34"/>
      <c r="L25" s="34"/>
      <c r="O25" s="77"/>
    </row>
    <row r="26" spans="2:15" ht="17.25" customHeight="1" x14ac:dyDescent="0.2">
      <c r="C26" s="19" t="s">
        <v>412</v>
      </c>
      <c r="D26" s="260">
        <f>+Pressupostos!D285</f>
        <v>1</v>
      </c>
      <c r="E26" s="34"/>
      <c r="F26" s="34"/>
      <c r="G26" s="34"/>
      <c r="H26" s="34"/>
      <c r="I26" s="34"/>
      <c r="J26" s="34"/>
      <c r="K26" s="34"/>
      <c r="L26" s="34"/>
      <c r="O26" s="77"/>
    </row>
    <row r="27" spans="2:15" ht="17.25" customHeight="1" x14ac:dyDescent="0.2">
      <c r="C27" s="19" t="s">
        <v>64</v>
      </c>
      <c r="D27" s="260">
        <f>+Pressupostos!D286</f>
        <v>0</v>
      </c>
      <c r="E27" s="34"/>
      <c r="F27" s="34"/>
      <c r="G27" s="34"/>
      <c r="H27" s="34"/>
      <c r="I27" s="34"/>
      <c r="J27" s="34"/>
      <c r="K27" s="34"/>
      <c r="L27" s="34"/>
      <c r="O27" s="77"/>
    </row>
    <row r="28" spans="2:15" ht="17.25" customHeight="1" x14ac:dyDescent="0.2">
      <c r="B28" s="55"/>
      <c r="C28" s="19" t="s">
        <v>110</v>
      </c>
      <c r="D28" s="263">
        <f>+Pressupostos!D287</f>
        <v>0</v>
      </c>
      <c r="E28" s="34"/>
      <c r="F28" s="34"/>
      <c r="G28" s="34"/>
      <c r="H28" s="34"/>
      <c r="I28" s="34"/>
      <c r="J28" s="34"/>
      <c r="K28" s="34"/>
      <c r="L28" s="34"/>
      <c r="O28" s="77"/>
    </row>
    <row r="29" spans="2:15" ht="17.25" customHeight="1" x14ac:dyDescent="0.2">
      <c r="C29" s="502" t="s">
        <v>65</v>
      </c>
      <c r="D29" s="60"/>
      <c r="E29" s="60"/>
      <c r="F29" s="60"/>
      <c r="G29" s="60"/>
      <c r="H29" s="60"/>
      <c r="I29" s="60"/>
      <c r="J29" s="75"/>
      <c r="K29" s="75"/>
      <c r="L29" s="75"/>
    </row>
    <row r="30" spans="2:15" ht="17.25" customHeight="1" x14ac:dyDescent="0.2">
      <c r="B30" s="239" t="str">
        <f>+D23</f>
        <v>CP</v>
      </c>
      <c r="C30" s="19" t="s">
        <v>22</v>
      </c>
      <c r="D30" s="63"/>
      <c r="E30" s="264">
        <f>IF($D$25&gt;$E$4,0,IF($D$25=$E$4,$D$24,IF($D$25&lt;$E$4,D32,0)))</f>
        <v>0</v>
      </c>
      <c r="F30" s="264">
        <f>IF($D$25&gt;$F$4,0,IF($D$25=$F$4,$D$24,IF($D$25&lt;$F$4,E32,0)))</f>
        <v>0</v>
      </c>
      <c r="G30" s="264">
        <f>IF($D$25&gt;$G$4,0,IF($D$25=$G$4,$D$24,IF($D$25&lt;$G$4,F32,0)))</f>
        <v>0</v>
      </c>
      <c r="H30" s="264">
        <f>IF($D$25&gt;$H$4,0,IF($D$25=$H$4,$D$24,IF($D$25&lt;$H$4,G32,0)))</f>
        <v>0</v>
      </c>
      <c r="I30" s="264">
        <f>IF($D$25&gt;$I$4,0,IF($D$25=$I$4,$D$24,IF($D$25&lt;$I$4,H32,0)))</f>
        <v>0</v>
      </c>
      <c r="J30" s="264">
        <f>IF($D$25&gt;$I$4,0,IF($D$25=$I$4,$D$24,IF($D$25&lt;$I$4,I32,0)))</f>
        <v>0</v>
      </c>
      <c r="K30" s="264">
        <f>IF($D$25&gt;$H$4,0,IF($D$25=$H$4,$D$24,IF($D$25&lt;$H$4,J32,0)))</f>
        <v>0</v>
      </c>
      <c r="L30" s="264">
        <f>IF($D$25&gt;$H$4,0,IF($D$25=$H$4,$D$24,IF($D$25&lt;$H$4,K32,0)))</f>
        <v>0</v>
      </c>
    </row>
    <row r="31" spans="2:15" ht="17.25" customHeight="1" x14ac:dyDescent="0.2">
      <c r="B31" s="239" t="str">
        <f>+D23</f>
        <v>CP</v>
      </c>
      <c r="C31" s="19" t="s">
        <v>23</v>
      </c>
      <c r="D31" s="64"/>
      <c r="E31" s="265">
        <f>+IF(E$4&lt;$D$25,0,IF(E$4-($D$25+$D$27+0.5)&lt;0,0,MIN($D$24/$D$26,$D$24-SUM($D31:D31))))</f>
        <v>0</v>
      </c>
      <c r="F31" s="51">
        <f>+IF(F$4&lt;$D$25,0,IF(F$4-($D$25+$D$27+0.5)&lt;0,0,MIN($D$24/$D$26,$D$24-SUM($D31:E31))))</f>
        <v>0</v>
      </c>
      <c r="G31" s="51">
        <f>+IF(G$4&lt;$D$25,0,IF(G$4-($D$25+$D$27+0.5)&lt;0,0,MIN($D$24/$D$26,$D$24-SUM($D31:F31))))</f>
        <v>0</v>
      </c>
      <c r="H31" s="51">
        <f>+IF(H$4&lt;$D$25,0,IF(H$4-($D$25+$D$27+0.5)&lt;0,0,MIN($D$24/$D$26,$D$24-SUM($D31:G31))))</f>
        <v>0</v>
      </c>
      <c r="I31" s="51">
        <f>+IF(I$4&lt;$D$25,0,IF(I$4-($D$25+$D$27+0.5)&lt;0,0,MIN($D$24/$D$26,$D$24-SUM($D31:H31))))</f>
        <v>0</v>
      </c>
      <c r="J31" s="51">
        <f>+IF(J$4&lt;$D$25,0,IF(J$4-($D$25+$D$27+0.5)&lt;0,0,MIN($D$24/$D$26,$D$24-SUM($D31:I31))))</f>
        <v>0</v>
      </c>
      <c r="K31" s="51">
        <f>+IF(K$4&lt;$D$25,0,IF(K$4-($D$25+$D$27)&lt;0,0,MIN($D$24/$D$26,$D$24-SUM($D31:J31))))</f>
        <v>0</v>
      </c>
      <c r="L31" s="51">
        <f>+IF(L$4&lt;$D$25,0,IF(L$4-($D$25+$D$27)&lt;0,0,MIN($D$24/$D$26,$D$24-SUM($D31:K31))))</f>
        <v>0</v>
      </c>
    </row>
    <row r="32" spans="2:15" ht="17.25" customHeight="1" x14ac:dyDescent="0.2">
      <c r="B32" s="239" t="str">
        <f>+D23</f>
        <v>CP</v>
      </c>
      <c r="C32" s="19" t="s">
        <v>24</v>
      </c>
      <c r="D32" s="64"/>
      <c r="E32" s="264">
        <f>+E30-E31</f>
        <v>0</v>
      </c>
      <c r="F32" s="264">
        <f>+F30-F31</f>
        <v>0</v>
      </c>
      <c r="G32" s="264">
        <f t="shared" ref="G32:J32" si="14">+G30-G31</f>
        <v>0</v>
      </c>
      <c r="H32" s="264">
        <f t="shared" si="14"/>
        <v>0</v>
      </c>
      <c r="I32" s="264">
        <f t="shared" si="14"/>
        <v>0</v>
      </c>
      <c r="J32" s="264">
        <f t="shared" si="14"/>
        <v>0</v>
      </c>
      <c r="K32" s="264">
        <f>+K30-K31</f>
        <v>0</v>
      </c>
      <c r="L32" s="264">
        <f>+L30-L31</f>
        <v>0</v>
      </c>
    </row>
    <row r="33" spans="2:15" ht="17.25" customHeight="1" x14ac:dyDescent="0.2">
      <c r="C33" s="503" t="s">
        <v>188</v>
      </c>
      <c r="D33" s="266"/>
      <c r="E33" s="267">
        <f>+E30*($D$28*(1+Pressupostos!$D$21))</f>
        <v>0</v>
      </c>
      <c r="F33" s="267">
        <f>+F30*($D$28*(1+Pressupostos!$D$21))</f>
        <v>0</v>
      </c>
      <c r="G33" s="267">
        <f>+G30*($D$28*(1+Pressupostos!$D$21))</f>
        <v>0</v>
      </c>
      <c r="H33" s="267">
        <f>+H30*($D$28*(1+Pressupostos!$D$21))</f>
        <v>0</v>
      </c>
      <c r="I33" s="267">
        <f>+I30*($D$28*(1+Pressupostos!$D$21))</f>
        <v>0</v>
      </c>
      <c r="J33" s="267">
        <f>+J30*($D$28*(1+Pressupostos!$D$21))</f>
        <v>0</v>
      </c>
      <c r="K33" s="267">
        <f t="shared" ref="K33:L33" si="15">+K30*$D$28</f>
        <v>0</v>
      </c>
      <c r="L33" s="267">
        <f t="shared" si="15"/>
        <v>0</v>
      </c>
    </row>
    <row r="34" spans="2:15" ht="17.25" customHeight="1" x14ac:dyDescent="0.2">
      <c r="C34" s="501" t="s">
        <v>413</v>
      </c>
      <c r="D34" s="452" t="str">
        <f>+Pressupostos!D288</f>
        <v>CP</v>
      </c>
      <c r="E34" s="76"/>
      <c r="F34" s="76"/>
      <c r="G34" s="76"/>
      <c r="H34" s="76"/>
      <c r="I34" s="76"/>
      <c r="J34" s="76"/>
      <c r="K34" s="76"/>
      <c r="L34" s="76"/>
    </row>
    <row r="35" spans="2:15" ht="17.25" customHeight="1" x14ac:dyDescent="0.2">
      <c r="C35" s="19" t="s">
        <v>111</v>
      </c>
      <c r="D35" s="260">
        <f>+Pressupostos!D290</f>
        <v>0</v>
      </c>
      <c r="E35" s="261"/>
      <c r="F35" s="34"/>
      <c r="G35" s="34"/>
      <c r="H35" s="34"/>
      <c r="I35" s="34"/>
      <c r="J35" s="34"/>
      <c r="K35" s="34"/>
      <c r="L35" s="34"/>
      <c r="O35" s="77"/>
    </row>
    <row r="36" spans="2:15" ht="17.25" customHeight="1" x14ac:dyDescent="0.2">
      <c r="C36" s="19" t="s">
        <v>363</v>
      </c>
      <c r="D36" s="262">
        <f>+Pressupostos!D289</f>
        <v>0</v>
      </c>
      <c r="E36" s="41"/>
      <c r="F36" s="34"/>
      <c r="G36" s="34"/>
      <c r="H36" s="34"/>
      <c r="I36" s="34"/>
      <c r="J36" s="34"/>
      <c r="K36" s="34"/>
      <c r="L36" s="34"/>
      <c r="O36" s="77"/>
    </row>
    <row r="37" spans="2:15" ht="17.25" customHeight="1" x14ac:dyDescent="0.2">
      <c r="C37" s="19" t="s">
        <v>412</v>
      </c>
      <c r="D37" s="262">
        <f>+Pressupostos!D291</f>
        <v>1</v>
      </c>
      <c r="E37" s="34"/>
      <c r="F37" s="34"/>
      <c r="G37" s="34"/>
      <c r="H37" s="34"/>
      <c r="I37" s="34"/>
      <c r="J37" s="34"/>
      <c r="K37" s="34"/>
      <c r="L37" s="34"/>
      <c r="O37" s="77"/>
    </row>
    <row r="38" spans="2:15" ht="17.25" customHeight="1" x14ac:dyDescent="0.2">
      <c r="C38" s="19" t="s">
        <v>64</v>
      </c>
      <c r="D38" s="260">
        <v>0</v>
      </c>
      <c r="E38" s="34"/>
      <c r="F38" s="34"/>
      <c r="G38" s="34"/>
      <c r="H38" s="34"/>
      <c r="I38" s="34"/>
      <c r="J38" s="34"/>
      <c r="K38" s="34"/>
      <c r="L38" s="34"/>
      <c r="O38" s="77"/>
    </row>
    <row r="39" spans="2:15" ht="17.25" customHeight="1" x14ac:dyDescent="0.2">
      <c r="B39" s="55"/>
      <c r="C39" s="19" t="s">
        <v>110</v>
      </c>
      <c r="D39" s="675">
        <f>+Pressupostos!D293</f>
        <v>0</v>
      </c>
      <c r="E39" s="34"/>
      <c r="F39" s="34"/>
      <c r="G39" s="34"/>
      <c r="H39" s="34"/>
      <c r="I39" s="34"/>
      <c r="J39" s="34"/>
      <c r="K39" s="34"/>
      <c r="L39" s="34"/>
      <c r="O39" s="77"/>
    </row>
    <row r="40" spans="2:15" ht="17.25" customHeight="1" x14ac:dyDescent="0.2">
      <c r="C40" s="502" t="s">
        <v>65</v>
      </c>
      <c r="D40" s="60"/>
      <c r="E40" s="60"/>
      <c r="F40" s="60"/>
      <c r="G40" s="60"/>
      <c r="H40" s="60"/>
      <c r="I40" s="60"/>
      <c r="J40" s="75"/>
      <c r="K40" s="75"/>
      <c r="L40" s="75"/>
    </row>
    <row r="41" spans="2:15" ht="17.25" customHeight="1" x14ac:dyDescent="0.2">
      <c r="B41" s="250" t="str">
        <f>+D34</f>
        <v>CP</v>
      </c>
      <c r="C41" s="19" t="s">
        <v>22</v>
      </c>
      <c r="D41" s="63"/>
      <c r="E41" s="264">
        <f>IF($D$36&gt;$E$4,0,IF($D$36=$E$4,$D$35,IF($D$36&lt;$E$4,D43,0)))</f>
        <v>0</v>
      </c>
      <c r="F41" s="264">
        <f>IF($D$36&gt;$F$4,0,IF($D$36=$F$4,$D$35,IF($D$36&lt;$F$4,E43,0)))</f>
        <v>0</v>
      </c>
      <c r="G41" s="264">
        <f>IF($D$36&gt;$G$4,0,IF($D$36=$G$4,$D$35,IF($D$36&lt;$G$4,F43,0)))</f>
        <v>0</v>
      </c>
      <c r="H41" s="264">
        <f>IF($D$36&gt;$H$4,0,IF($D$36=$H$4,$D$35,IF($D$36&lt;$H$4,G43,0)))</f>
        <v>0</v>
      </c>
      <c r="I41" s="264">
        <f>IF($D$36&gt;$I$4,0,IF($D$36=$I$4,$D$35,IF($D$36&lt;$I$4,H43,0)))</f>
        <v>0</v>
      </c>
      <c r="J41" s="264">
        <f>IF($D$36&gt;$I$4,0,IF($D$36=$I$4,$D$35,IF($D$36&lt;$I$4,I43,0)))</f>
        <v>0</v>
      </c>
      <c r="K41" s="264">
        <f>IF($D$25&gt;$H$4,0,IF($D$25=$H$4,$D$24,IF($D$25&lt;$H$4,J43,0)))</f>
        <v>0</v>
      </c>
      <c r="L41" s="264">
        <f>IF($D$25&gt;$H$4,0,IF($D$25=$H$4,$D$24,IF($D$25&lt;$H$4,K43,0)))</f>
        <v>0</v>
      </c>
    </row>
    <row r="42" spans="2:15" ht="17.25" customHeight="1" x14ac:dyDescent="0.2">
      <c r="B42" s="250" t="str">
        <f>+D34</f>
        <v>CP</v>
      </c>
      <c r="C42" s="19" t="s">
        <v>23</v>
      </c>
      <c r="D42" s="64"/>
      <c r="E42" s="835">
        <f>+IF(E$4&lt;$D$36,0,IF(E$4-($D$36+$D$38+0.5)&lt;0,0,MIN($D$35/$D$37,$D$35-SUM($D42:D42))))</f>
        <v>0</v>
      </c>
      <c r="F42" s="835">
        <f>+IF(F$4&lt;$D$36,0,IF(F$4-($D$36+$D$38+0.5)&lt;0,0,MIN($D$35/$D$37,$D$35-SUM($D42:E42))))</f>
        <v>0</v>
      </c>
      <c r="G42" s="835">
        <f>+IF(G$4&lt;$D$36,0,IF(G$4-($D$36+$D$38+0.5)&lt;0,0,MIN($D$35/$D$37,$D$35-SUM($D42:F42))))</f>
        <v>0</v>
      </c>
      <c r="H42" s="835">
        <f>+IF(H$4&lt;$D$36,0,IF(H$4-($D$36+$D$38+0.5)&lt;0,0,MIN($D$35/$D$37,$D$35-SUM($D42:G42))))</f>
        <v>0</v>
      </c>
      <c r="I42" s="835">
        <f>+IF(I$4&lt;$D$36,0,IF(I$4-($D$36+$D$38+0.5)&lt;0,0,MIN($D$35/$D$37,$D$35-SUM($D42:H42))))</f>
        <v>0</v>
      </c>
      <c r="J42" s="835">
        <f>+IF(J$4&lt;$D$36,0,IF(J$4-($D$36+$D$38+0.5)&lt;0,0,MIN($D$35/$D$37,$D$35-SUM($D42:I42))))</f>
        <v>0</v>
      </c>
      <c r="K42" s="51">
        <f>+IF(K$4&lt;$D$25,0,IF(K$4-($D$25+$D$27)&lt;0,0,MIN($D$24/$D$26,$D$24-SUM($D42:J42))))</f>
        <v>0</v>
      </c>
      <c r="L42" s="51">
        <f>+IF(L$4&lt;$D$25,0,IF(L$4-($D$25+$D$27)&lt;0,0,MIN($D$24/$D$26,$D$24-SUM($D42:K42))))</f>
        <v>0</v>
      </c>
    </row>
    <row r="43" spans="2:15" ht="17.25" customHeight="1" x14ac:dyDescent="0.2">
      <c r="B43" s="250" t="str">
        <f>+D34</f>
        <v>CP</v>
      </c>
      <c r="C43" s="19" t="s">
        <v>24</v>
      </c>
      <c r="D43" s="64"/>
      <c r="E43" s="264">
        <f>+E41-E42</f>
        <v>0</v>
      </c>
      <c r="F43" s="264">
        <f>+F41-F42</f>
        <v>0</v>
      </c>
      <c r="G43" s="264">
        <f t="shared" ref="G43:J43" si="16">+G41-G42</f>
        <v>0</v>
      </c>
      <c r="H43" s="264">
        <f t="shared" si="16"/>
        <v>0</v>
      </c>
      <c r="I43" s="264">
        <f t="shared" si="16"/>
        <v>0</v>
      </c>
      <c r="J43" s="264">
        <f t="shared" si="16"/>
        <v>0</v>
      </c>
      <c r="K43" s="264">
        <f>+K41-K42</f>
        <v>0</v>
      </c>
      <c r="L43" s="264">
        <f>+L41-L42</f>
        <v>0</v>
      </c>
    </row>
    <row r="44" spans="2:15" ht="17.25" customHeight="1" x14ac:dyDescent="0.2">
      <c r="C44" s="503" t="s">
        <v>188</v>
      </c>
      <c r="D44" s="266"/>
      <c r="E44" s="267">
        <f>+E41*($D$39*(1+Pressupostos!$D$21))</f>
        <v>0</v>
      </c>
      <c r="F44" s="267">
        <f>+F41*($D$39*(1+Pressupostos!$D$21))</f>
        <v>0</v>
      </c>
      <c r="G44" s="267">
        <f>+G41*($D$39*(1+Pressupostos!$D$21))</f>
        <v>0</v>
      </c>
      <c r="H44" s="267">
        <f>+H41*($D$39*(1+Pressupostos!$D$21))</f>
        <v>0</v>
      </c>
      <c r="I44" s="267">
        <f>+I41*($D$39*(1+Pressupostos!$D$21))</f>
        <v>0</v>
      </c>
      <c r="J44" s="267">
        <f>+J41*($D$39*(1+Pressupostos!$D$21))</f>
        <v>0</v>
      </c>
      <c r="K44" s="267">
        <f t="shared" ref="K44:L44" si="17">+K41*$D$28</f>
        <v>0</v>
      </c>
      <c r="L44" s="267">
        <f t="shared" si="17"/>
        <v>0</v>
      </c>
    </row>
    <row r="45" spans="2:15" ht="12.75" x14ac:dyDescent="0.2"/>
    <row r="46" spans="2:15" ht="12" customHeight="1" x14ac:dyDescent="0.2"/>
    <row r="47" spans="2:15" customFormat="1" ht="15" x14ac:dyDescent="0.25">
      <c r="B47" s="21"/>
      <c r="C47" s="684" t="s">
        <v>660</v>
      </c>
      <c r="D47" s="685"/>
      <c r="E47" s="7"/>
    </row>
    <row r="48" spans="2:15" customFormat="1" ht="15" x14ac:dyDescent="0.25">
      <c r="B48" s="21"/>
      <c r="D48" s="685"/>
      <c r="E48" s="7"/>
    </row>
    <row r="49" spans="2:5" customFormat="1" ht="15" x14ac:dyDescent="0.25">
      <c r="B49" s="21"/>
      <c r="D49" s="685"/>
      <c r="E49" s="7"/>
    </row>
    <row r="50" spans="2:5" customFormat="1" ht="15" x14ac:dyDescent="0.25">
      <c r="B50" s="21"/>
      <c r="D50" s="685"/>
      <c r="E50" s="7"/>
    </row>
    <row r="51" spans="2:5" customFormat="1" ht="15" x14ac:dyDescent="0.25">
      <c r="B51" s="21"/>
      <c r="D51" s="685"/>
      <c r="E51" s="7"/>
    </row>
    <row r="52" spans="2:5" ht="12.75" x14ac:dyDescent="0.2"/>
    <row r="53" spans="2:5" ht="12.75" x14ac:dyDescent="0.2"/>
    <row r="54" spans="2:5" ht="12.75" x14ac:dyDescent="0.2"/>
    <row r="55" spans="2:5" ht="12.75" x14ac:dyDescent="0.2"/>
    <row r="56" spans="2:5" ht="12.75" x14ac:dyDescent="0.2"/>
    <row r="57" spans="2:5" ht="12.75" x14ac:dyDescent="0.2"/>
    <row r="58" spans="2:5" ht="12.75" x14ac:dyDescent="0.2"/>
    <row r="59" spans="2:5" ht="12.75" x14ac:dyDescent="0.2"/>
    <row r="60" spans="2:5" ht="12.75" x14ac:dyDescent="0.2"/>
    <row r="61" spans="2:5" ht="12.75" x14ac:dyDescent="0.2"/>
    <row r="62" spans="2:5" ht="12.75" x14ac:dyDescent="0.2"/>
    <row r="63" spans="2:5" ht="12.75" x14ac:dyDescent="0.2"/>
    <row r="64" spans="2:5" ht="12.75" x14ac:dyDescent="0.2"/>
    <row r="65" ht="12.75" x14ac:dyDescent="0.2"/>
    <row r="66" ht="12.75" x14ac:dyDescent="0.2"/>
    <row r="67" ht="12.75" x14ac:dyDescent="0.2"/>
    <row r="68" ht="15" customHeight="1" x14ac:dyDescent="0.2"/>
    <row r="69" ht="15" customHeight="1" x14ac:dyDescent="0.2"/>
    <row r="70" ht="15" customHeight="1" x14ac:dyDescent="0.2"/>
    <row r="71" ht="15" customHeight="1" x14ac:dyDescent="0.2"/>
  </sheetData>
  <sheetProtection algorithmName="SHA-512" hashValue="mVN2EAAIihSEeF3BvyZm4DgTf0dpBpuDU9hUquHGm7BeT4i2hEHaiE4xsiijrrFTJecdAJQ53FsjfI7yVGPqjQ==" saltValue="LL6u85gT5KkESappCePC/A==" spinCount="100000" sheet="1" objects="1" scenarios="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K3" sqref="K3"/>
    </sheetView>
  </sheetViews>
  <sheetFormatPr defaultColWidth="0" defaultRowHeight="0" customHeight="1" zeroHeight="1" x14ac:dyDescent="0.2"/>
  <cols>
    <col min="1" max="1" width="0.85546875" style="5" customWidth="1"/>
    <col min="2" max="2" width="5" style="5" customWidth="1"/>
    <col min="3" max="3" width="38.140625" style="5" bestFit="1" customWidth="1"/>
    <col min="4" max="4" width="5.85546875" style="5" customWidth="1"/>
    <col min="5" max="9" width="11.140625" style="158" customWidth="1"/>
    <col min="10" max="10" width="12" style="158" bestFit="1" customWidth="1"/>
    <col min="11" max="11" width="9.140625" style="5" customWidth="1"/>
    <col min="12" max="15" width="0" style="5" hidden="1" customWidth="1"/>
    <col min="16" max="16384" width="9.140625" style="5" hidden="1"/>
  </cols>
  <sheetData>
    <row r="1" spans="2:10" ht="12.75" x14ac:dyDescent="0.2"/>
    <row r="2" spans="2:10" s="195" customFormat="1" ht="20.25" customHeight="1" x14ac:dyDescent="0.25">
      <c r="C2" s="196" t="s">
        <v>689</v>
      </c>
      <c r="D2" s="197"/>
      <c r="E2" s="225"/>
      <c r="F2" s="225"/>
      <c r="G2" s="225"/>
      <c r="H2" s="225"/>
      <c r="I2" s="225"/>
      <c r="J2" s="225"/>
    </row>
    <row r="3" spans="2:10" ht="12.75" x14ac:dyDescent="0.2"/>
    <row r="4" spans="2:10" ht="13.5" thickBot="1" x14ac:dyDescent="0.25">
      <c r="C4" s="82" t="str">
        <f>+Capa!C13</f>
        <v>Gaming’Us</v>
      </c>
      <c r="D4" s="37"/>
      <c r="E4" s="268">
        <f>+AnoN</f>
        <v>2023</v>
      </c>
      <c r="F4" s="268">
        <f>+E4+1</f>
        <v>2024</v>
      </c>
      <c r="G4" s="268">
        <f t="shared" ref="G4:J4" si="0">+F4+1</f>
        <v>2025</v>
      </c>
      <c r="H4" s="268">
        <f t="shared" si="0"/>
        <v>2026</v>
      </c>
      <c r="I4" s="268">
        <f t="shared" si="0"/>
        <v>2027</v>
      </c>
      <c r="J4" s="268">
        <f t="shared" si="0"/>
        <v>2028</v>
      </c>
    </row>
    <row r="5" spans="2:10" ht="6.75" customHeight="1" thickTop="1" x14ac:dyDescent="0.2"/>
    <row r="6" spans="2:10" ht="17.25" customHeight="1" x14ac:dyDescent="0.2">
      <c r="C6" s="25" t="s">
        <v>66</v>
      </c>
      <c r="D6" s="298"/>
      <c r="E6" s="299">
        <f t="shared" ref="E6:J6" ca="1" si="1">+E7-E18</f>
        <v>32533.333333333332</v>
      </c>
      <c r="F6" s="299">
        <f t="shared" ca="1" si="1"/>
        <v>38287.466666666674</v>
      </c>
      <c r="G6" s="299">
        <f t="shared" ca="1" si="1"/>
        <v>46863.859200000006</v>
      </c>
      <c r="H6" s="299">
        <f t="shared" ca="1" si="1"/>
        <v>57361.363660799994</v>
      </c>
      <c r="I6" s="299">
        <f t="shared" ca="1" si="1"/>
        <v>70210.309120819205</v>
      </c>
      <c r="J6" s="299">
        <f t="shared" ca="1" si="1"/>
        <v>85937.41836388268</v>
      </c>
    </row>
    <row r="7" spans="2:10" ht="17.25" customHeight="1" x14ac:dyDescent="0.2">
      <c r="C7" s="236" t="s">
        <v>28</v>
      </c>
      <c r="D7" s="238"/>
      <c r="E7" s="285">
        <f t="shared" ref="E7:J7" si="2">+SUM(E8:E17)</f>
        <v>49200</v>
      </c>
      <c r="F7" s="285">
        <f t="shared" ca="1" si="2"/>
        <v>60220.800000000003</v>
      </c>
      <c r="G7" s="285">
        <f t="shared" ca="1" si="2"/>
        <v>73710.2592</v>
      </c>
      <c r="H7" s="285">
        <f t="shared" ca="1" si="2"/>
        <v>90221.357260799996</v>
      </c>
      <c r="I7" s="285">
        <f t="shared" ca="1" si="2"/>
        <v>110430.9412872192</v>
      </c>
      <c r="J7" s="285">
        <f t="shared" ca="1" si="2"/>
        <v>135167.47213555628</v>
      </c>
    </row>
    <row r="8" spans="2:10" ht="17.25" customHeight="1" x14ac:dyDescent="0.2">
      <c r="C8" s="108" t="s">
        <v>67</v>
      </c>
      <c r="D8" s="64"/>
      <c r="E8" s="286"/>
      <c r="F8" s="286"/>
      <c r="G8" s="286"/>
      <c r="H8" s="286"/>
      <c r="I8" s="286"/>
      <c r="J8" s="287"/>
    </row>
    <row r="9" spans="2:10" ht="17.25" customHeight="1" x14ac:dyDescent="0.2">
      <c r="B9" s="55"/>
      <c r="C9" s="232" t="s">
        <v>86</v>
      </c>
      <c r="D9" s="64"/>
      <c r="E9" s="296">
        <f>+(Pressupostos!G$44+Pressupostos!G$45)-'5. Fundo de Maneio'!E7+'1.Demonstração de Resultados'!D15</f>
        <v>49200</v>
      </c>
      <c r="F9" s="296">
        <f>+(Pressupostos!H$44+Pressupostos!H$45)-'5. Fundo de Maneio'!F7+'1.Demonstração de Resultados'!E15</f>
        <v>60220.800000000003</v>
      </c>
      <c r="G9" s="296">
        <f>+(Pressupostos!I$44+Pressupostos!I$45)-'5. Fundo de Maneio'!G7+'1.Demonstração de Resultados'!F15</f>
        <v>73710.2592</v>
      </c>
      <c r="H9" s="296">
        <f>+(Pressupostos!J$44+Pressupostos!J$45)-'5. Fundo de Maneio'!H7+'1.Demonstração de Resultados'!G15</f>
        <v>90221.357260799996</v>
      </c>
      <c r="I9" s="296">
        <f>+(Pressupostos!K$44+Pressupostos!K$45)-'5. Fundo de Maneio'!I7+'1.Demonstração de Resultados'!H15</f>
        <v>110430.9412872192</v>
      </c>
      <c r="J9" s="296">
        <f>+(Pressupostos!L$44+Pressupostos!L$45)-'5. Fundo de Maneio'!J7+'1.Demonstração de Resultados'!I15</f>
        <v>135167.47213555628</v>
      </c>
    </row>
    <row r="10" spans="2:10" ht="17.25" customHeight="1" x14ac:dyDescent="0.2">
      <c r="B10" s="55"/>
      <c r="C10" s="232" t="s">
        <v>20</v>
      </c>
      <c r="D10" s="64"/>
      <c r="E10" s="296">
        <f>+'1.Demonstração de Resultados'!D14</f>
        <v>0</v>
      </c>
      <c r="F10" s="296">
        <f>+'1.Demonstração de Resultados'!E14</f>
        <v>0</v>
      </c>
      <c r="G10" s="296">
        <f>+'1.Demonstração de Resultados'!F14</f>
        <v>0</v>
      </c>
      <c r="H10" s="296">
        <f>+'1.Demonstração de Resultados'!G14</f>
        <v>0</v>
      </c>
      <c r="I10" s="296">
        <f>+'1.Demonstração de Resultados'!H14</f>
        <v>0</v>
      </c>
      <c r="J10" s="296">
        <f>+'1.Demonstração de Resultados'!I14</f>
        <v>0</v>
      </c>
    </row>
    <row r="11" spans="2:10" ht="17.25" hidden="1" customHeight="1" x14ac:dyDescent="0.2">
      <c r="B11" s="55"/>
      <c r="C11" s="232" t="s">
        <v>116</v>
      </c>
      <c r="D11" s="64"/>
      <c r="E11" s="296"/>
      <c r="F11" s="296"/>
      <c r="G11" s="296"/>
      <c r="H11" s="296"/>
      <c r="I11" s="296"/>
      <c r="J11" s="296"/>
    </row>
    <row r="12" spans="2:10" ht="17.25" customHeight="1" x14ac:dyDescent="0.2">
      <c r="B12" s="55"/>
      <c r="C12" s="232" t="s">
        <v>117</v>
      </c>
      <c r="D12" s="64"/>
      <c r="E12" s="326">
        <f>+'1.Demonstração de Resultados'!E19+'1.Demonstração de Resultados'!E7-Pressupostos!G257</f>
        <v>0</v>
      </c>
      <c r="F12" s="326">
        <f ca="1">+'1.Demonstração de Resultados'!F19+'1.Demonstração de Resultados'!F7-Pressupostos!H257</f>
        <v>0</v>
      </c>
      <c r="G12" s="326">
        <f ca="1">+'1.Demonstração de Resultados'!G19+'1.Demonstração de Resultados'!G7-Pressupostos!I257</f>
        <v>0</v>
      </c>
      <c r="H12" s="326">
        <f ca="1">+'1.Demonstração de Resultados'!H19+'1.Demonstração de Resultados'!H7-Pressupostos!J257</f>
        <v>0</v>
      </c>
      <c r="I12" s="326">
        <f ca="1">+'1.Demonstração de Resultados'!I19+'1.Demonstração de Resultados'!I7-Pressupostos!K257</f>
        <v>0</v>
      </c>
      <c r="J12" s="326">
        <f ca="1">+'1.Demonstração de Resultados'!J19+'1.Demonstração de Resultados'!J7-Pressupostos!L257</f>
        <v>0</v>
      </c>
    </row>
    <row r="13" spans="2:10" ht="17.25" customHeight="1" x14ac:dyDescent="0.2">
      <c r="C13" s="108" t="s">
        <v>68</v>
      </c>
      <c r="D13" s="64"/>
      <c r="E13" s="286"/>
      <c r="F13" s="286"/>
      <c r="G13" s="286"/>
      <c r="H13" s="286"/>
      <c r="I13" s="286"/>
      <c r="J13" s="287"/>
    </row>
    <row r="14" spans="2:10" ht="17.25" customHeight="1" x14ac:dyDescent="0.2">
      <c r="B14" s="55"/>
      <c r="C14" s="235" t="s">
        <v>86</v>
      </c>
      <c r="D14" s="64"/>
      <c r="E14" s="296">
        <v>0</v>
      </c>
      <c r="F14" s="296">
        <f>+'5. Fundo de Maneio'!E7</f>
        <v>0</v>
      </c>
      <c r="G14" s="296">
        <f>+'5. Fundo de Maneio'!F7</f>
        <v>0</v>
      </c>
      <c r="H14" s="296">
        <f>+'5. Fundo de Maneio'!G7</f>
        <v>0</v>
      </c>
      <c r="I14" s="296">
        <f>+'5. Fundo de Maneio'!H7</f>
        <v>0</v>
      </c>
      <c r="J14" s="296">
        <f>+'5. Fundo de Maneio'!I7</f>
        <v>0</v>
      </c>
    </row>
    <row r="15" spans="2:10" ht="17.25" customHeight="1" x14ac:dyDescent="0.2">
      <c r="B15" s="55"/>
      <c r="C15" s="232" t="s">
        <v>20</v>
      </c>
      <c r="D15" s="64"/>
      <c r="E15" s="296"/>
      <c r="F15" s="296"/>
      <c r="G15" s="296"/>
      <c r="H15" s="296"/>
      <c r="I15" s="296"/>
      <c r="J15" s="296"/>
    </row>
    <row r="16" spans="2:10" s="242" customFormat="1" ht="17.25" customHeight="1" x14ac:dyDescent="0.2">
      <c r="B16" s="240"/>
      <c r="C16" s="241" t="s">
        <v>116</v>
      </c>
      <c r="D16" s="50"/>
      <c r="E16" s="296">
        <v>0</v>
      </c>
      <c r="F16" s="296">
        <f>+'5. Fundo de Maneio'!E9</f>
        <v>0</v>
      </c>
      <c r="G16" s="296">
        <f>+'5. Fundo de Maneio'!F9</f>
        <v>0</v>
      </c>
      <c r="H16" s="296">
        <f>+'5. Fundo de Maneio'!G9</f>
        <v>0</v>
      </c>
      <c r="I16" s="296">
        <f>+'5. Fundo de Maneio'!H9</f>
        <v>0</v>
      </c>
      <c r="J16" s="296">
        <f>+'5. Fundo de Maneio'!I9</f>
        <v>0</v>
      </c>
    </row>
    <row r="17" spans="2:10" s="242" customFormat="1" ht="17.25" customHeight="1" x14ac:dyDescent="0.2">
      <c r="C17" s="241" t="s">
        <v>117</v>
      </c>
      <c r="D17" s="50"/>
      <c r="E17" s="296">
        <v>0</v>
      </c>
      <c r="F17" s="296">
        <f>+'5. Fundo de Maneio'!E11</f>
        <v>0</v>
      </c>
      <c r="G17" s="296">
        <f>+'5. Fundo de Maneio'!F11</f>
        <v>0</v>
      </c>
      <c r="H17" s="296">
        <f>+'5. Fundo de Maneio'!G11</f>
        <v>0</v>
      </c>
      <c r="I17" s="296">
        <f>+'5. Fundo de Maneio'!H11</f>
        <v>0</v>
      </c>
      <c r="J17" s="296">
        <f>+'5. Fundo de Maneio'!I11</f>
        <v>0</v>
      </c>
    </row>
    <row r="18" spans="2:10" ht="17.25" customHeight="1" x14ac:dyDescent="0.2">
      <c r="C18" s="236" t="s">
        <v>29</v>
      </c>
      <c r="D18" s="237"/>
      <c r="E18" s="297">
        <f ca="1">+SUM(E19:E38)</f>
        <v>16666.666666666668</v>
      </c>
      <c r="F18" s="297">
        <f t="shared" ref="F18:J18" ca="1" si="3">+SUM(F19:F38)</f>
        <v>21933.333333333332</v>
      </c>
      <c r="G18" s="297">
        <f t="shared" ca="1" si="3"/>
        <v>26846.399999999998</v>
      </c>
      <c r="H18" s="297">
        <f t="shared" ca="1" si="3"/>
        <v>32859.993600000002</v>
      </c>
      <c r="I18" s="297">
        <f t="shared" ca="1" si="3"/>
        <v>40220.632166399999</v>
      </c>
      <c r="J18" s="297">
        <f t="shared" ca="1" si="3"/>
        <v>49230.0537716736</v>
      </c>
    </row>
    <row r="19" spans="2:10" ht="17.25" customHeight="1" x14ac:dyDescent="0.2">
      <c r="C19" s="243" t="s">
        <v>67</v>
      </c>
      <c r="D19" s="64"/>
      <c r="E19" s="288"/>
      <c r="F19" s="288"/>
      <c r="G19" s="288"/>
      <c r="H19" s="288"/>
      <c r="I19" s="288"/>
      <c r="J19" s="289"/>
    </row>
    <row r="20" spans="2:10" ht="17.25" customHeight="1" x14ac:dyDescent="0.2">
      <c r="B20" s="55"/>
      <c r="C20" s="232" t="s">
        <v>0</v>
      </c>
      <c r="D20" s="64"/>
      <c r="E20" s="326">
        <f>(Pressupostos!G82+Pressupostos!G83+Pressupostos!G108+Pressupostos!G109+Pressupostos!G184+Pressupostos!G185)-'5. Fundo de Maneio'!E15</f>
        <v>0</v>
      </c>
      <c r="F20" s="326">
        <f>(Pressupostos!H82+Pressupostos!H83+Pressupostos!H108+Pressupostos!H109+Pressupostos!H184+Pressupostos!H185)-'5. Fundo de Maneio'!F15</f>
        <v>0</v>
      </c>
      <c r="G20" s="326">
        <f>(Pressupostos!I82+Pressupostos!I83+Pressupostos!I108+Pressupostos!I109+Pressupostos!I184+Pressupostos!I185)-'5. Fundo de Maneio'!G15</f>
        <v>0</v>
      </c>
      <c r="H20" s="326">
        <f>(Pressupostos!J82+Pressupostos!J83+Pressupostos!J108+Pressupostos!J109+Pressupostos!J184+Pressupostos!J185)-'5. Fundo de Maneio'!H15</f>
        <v>0</v>
      </c>
      <c r="I20" s="326">
        <f>(Pressupostos!K82+Pressupostos!K83+Pressupostos!K108+Pressupostos!K109+Pressupostos!K184+Pressupostos!K185)-'5. Fundo de Maneio'!I15</f>
        <v>0</v>
      </c>
      <c r="J20" s="326">
        <f>(Pressupostos!L82+Pressupostos!L83+Pressupostos!L108+Pressupostos!L109+Pressupostos!L184+Pressupostos!L185)-'5. Fundo de Maneio'!J15</f>
        <v>0</v>
      </c>
    </row>
    <row r="21" spans="2:10" ht="17.25" customHeight="1" x14ac:dyDescent="0.2">
      <c r="B21" s="55"/>
      <c r="C21" s="232" t="s">
        <v>243</v>
      </c>
      <c r="D21" s="64"/>
      <c r="E21" s="296">
        <f>+Pressupostos!G154+Pressupostos!G161+Pressupostos!G164-Pressupostos!G173-Pressupostos!G175+Pressupostos!G182</f>
        <v>0</v>
      </c>
      <c r="F21" s="296">
        <f>+Pressupostos!H154+Pressupostos!H161+Pressupostos!H164-Pressupostos!H173-Pressupostos!H175+Pressupostos!H182</f>
        <v>0</v>
      </c>
      <c r="G21" s="296">
        <f>+Pressupostos!I154+Pressupostos!I161+Pressupostos!I164-Pressupostos!I173-Pressupostos!I175+Pressupostos!I182</f>
        <v>0</v>
      </c>
      <c r="H21" s="296">
        <f>+Pressupostos!J154+Pressupostos!J161+Pressupostos!J164-Pressupostos!J173-Pressupostos!J175+Pressupostos!J182</f>
        <v>0</v>
      </c>
      <c r="I21" s="296">
        <f>+Pressupostos!K154+Pressupostos!K161+Pressupostos!K164-Pressupostos!K173-Pressupostos!K175+Pressupostos!K182</f>
        <v>0</v>
      </c>
      <c r="J21" s="296">
        <f>+Pressupostos!L154+Pressupostos!L161+Pressupostos!L164-Pressupostos!L173-Pressupostos!L175+Pressupostos!L182</f>
        <v>0</v>
      </c>
    </row>
    <row r="22" spans="2:10" ht="17.25" customHeight="1" x14ac:dyDescent="0.2">
      <c r="B22" s="55"/>
      <c r="C22" s="241" t="s">
        <v>116</v>
      </c>
      <c r="D22" s="50"/>
      <c r="E22" s="296"/>
      <c r="F22" s="296"/>
      <c r="G22" s="296"/>
      <c r="H22" s="296"/>
      <c r="I22" s="296"/>
      <c r="J22" s="296"/>
    </row>
    <row r="23" spans="2:10" ht="17.25" customHeight="1" x14ac:dyDescent="0.2">
      <c r="B23" s="55"/>
      <c r="C23" s="281" t="s">
        <v>17</v>
      </c>
      <c r="D23" s="50"/>
      <c r="E23" s="296"/>
      <c r="F23" s="296"/>
      <c r="G23" s="296"/>
      <c r="H23" s="296"/>
      <c r="I23" s="296"/>
      <c r="J23" s="296"/>
    </row>
    <row r="24" spans="2:10" ht="17.25" customHeight="1" x14ac:dyDescent="0.2">
      <c r="B24" s="55"/>
      <c r="C24" s="281" t="s">
        <v>77</v>
      </c>
      <c r="D24" s="50"/>
      <c r="E24" s="296">
        <f>+Pressupostos!G175-'5. Fundo de Maneio'!E17</f>
        <v>0</v>
      </c>
      <c r="F24" s="296">
        <f>+Pressupostos!H175-'5. Fundo de Maneio'!F17</f>
        <v>0</v>
      </c>
      <c r="G24" s="296">
        <f>+Pressupostos!I175-'5. Fundo de Maneio'!G17</f>
        <v>0</v>
      </c>
      <c r="H24" s="296">
        <f>+Pressupostos!J175-'5. Fundo de Maneio'!H17</f>
        <v>0</v>
      </c>
      <c r="I24" s="296">
        <f>+Pressupostos!K175-'5. Fundo de Maneio'!I17</f>
        <v>0</v>
      </c>
      <c r="J24" s="296">
        <f>+Pressupostos!L175-'5. Fundo de Maneio'!J17</f>
        <v>0</v>
      </c>
    </row>
    <row r="25" spans="2:10" ht="17.25" customHeight="1" x14ac:dyDescent="0.2">
      <c r="B25" s="55"/>
      <c r="C25" s="281" t="s">
        <v>35</v>
      </c>
      <c r="D25" s="50"/>
      <c r="E25" s="296">
        <f>+'5. Fundo de Maneio'!E27-'5. Fundo de Maneio'!E18+'5. Fundo de Maneio'!E9</f>
        <v>7666.666666666667</v>
      </c>
      <c r="F25" s="296">
        <f>+'5. Fundo de Maneio'!F27-'5. Fundo de Maneio'!F18+'5. Fundo de Maneio'!F9</f>
        <v>9384</v>
      </c>
      <c r="G25" s="296">
        <f>+'5. Fundo de Maneio'!G27-'5. Fundo de Maneio'!G18+'5. Fundo de Maneio'!G9</f>
        <v>11486.016000000001</v>
      </c>
      <c r="H25" s="296">
        <f>+'5. Fundo de Maneio'!H27-'5. Fundo de Maneio'!H18+'5. Fundo de Maneio'!H9</f>
        <v>14058.883584000001</v>
      </c>
      <c r="I25" s="296">
        <f>+'5. Fundo de Maneio'!I27-'5. Fundo de Maneio'!I18+'5. Fundo de Maneio'!I9</f>
        <v>17208.073506816003</v>
      </c>
      <c r="J25" s="296">
        <f>+'5. Fundo de Maneio'!J27-'5. Fundo de Maneio'!J18+'5. Fundo de Maneio'!J9</f>
        <v>21062.681972342783</v>
      </c>
    </row>
    <row r="26" spans="2:10" ht="17.25" customHeight="1" x14ac:dyDescent="0.2">
      <c r="B26" s="55"/>
      <c r="C26" s="281" t="s">
        <v>228</v>
      </c>
      <c r="D26" s="50"/>
      <c r="E26" s="296">
        <f>+Pressupostos!G171-'5. Fundo de Maneio'!E19</f>
        <v>0</v>
      </c>
      <c r="F26" s="296">
        <f>+Pressupostos!H171-'5. Fundo de Maneio'!F19</f>
        <v>0</v>
      </c>
      <c r="G26" s="296">
        <f>+Pressupostos!I171-'5. Fundo de Maneio'!G19</f>
        <v>0</v>
      </c>
      <c r="H26" s="296">
        <f>+Pressupostos!J171-'5. Fundo de Maneio'!H19</f>
        <v>0</v>
      </c>
      <c r="I26" s="296">
        <f>+Pressupostos!K171-'5. Fundo de Maneio'!I19</f>
        <v>0</v>
      </c>
      <c r="J26" s="296">
        <f>+Pressupostos!L171-'5. Fundo de Maneio'!J19</f>
        <v>0</v>
      </c>
    </row>
    <row r="27" spans="2:10" ht="17.25" customHeight="1" x14ac:dyDescent="0.2">
      <c r="B27" s="55"/>
      <c r="C27" s="281" t="s">
        <v>229</v>
      </c>
      <c r="D27" s="50"/>
      <c r="E27" s="296">
        <f>+(Pressupostos!G$179+'2. Balanço'!E14-'2. Balanço'!D14)-'5. Fundo de Maneio'!E20</f>
        <v>0</v>
      </c>
      <c r="F27" s="296">
        <f>+(Pressupostos!H$179+'2. Balanço'!F14-'2. Balanço'!E14)-'5. Fundo de Maneio'!F20</f>
        <v>0</v>
      </c>
      <c r="G27" s="296">
        <f>+(Pressupostos!I$179+'2. Balanço'!G14-'2. Balanço'!F14)-'5. Fundo de Maneio'!G20</f>
        <v>0</v>
      </c>
      <c r="H27" s="296">
        <f>+(Pressupostos!J$179+'2. Balanço'!H14-'2. Balanço'!G14)-'5. Fundo de Maneio'!H20</f>
        <v>0</v>
      </c>
      <c r="I27" s="296">
        <f>+(Pressupostos!K$179+'2. Balanço'!I14-'2. Balanço'!H14)-'5. Fundo de Maneio'!I20</f>
        <v>0</v>
      </c>
      <c r="J27" s="296">
        <f>+(Pressupostos!L$179+'2. Balanço'!J14-'2. Balanço'!I14)-'5. Fundo de Maneio'!J20</f>
        <v>0</v>
      </c>
    </row>
    <row r="28" spans="2:10" ht="17.25" customHeight="1" x14ac:dyDescent="0.2">
      <c r="B28" s="55"/>
      <c r="C28" s="241" t="s">
        <v>84</v>
      </c>
      <c r="D28" s="50"/>
      <c r="E28" s="296">
        <f>-'1.Demonstração de Resultados'!E20</f>
        <v>0</v>
      </c>
      <c r="F28" s="296">
        <f>-'1.Demonstração de Resultados'!F20</f>
        <v>0</v>
      </c>
      <c r="G28" s="296">
        <f>-'1.Demonstração de Resultados'!G20</f>
        <v>0</v>
      </c>
      <c r="H28" s="296">
        <f>-'1.Demonstração de Resultados'!H20</f>
        <v>0</v>
      </c>
      <c r="I28" s="296">
        <f>-'1.Demonstração de Resultados'!I20</f>
        <v>0</v>
      </c>
      <c r="J28" s="296">
        <f>-'1.Demonstração de Resultados'!J20</f>
        <v>0</v>
      </c>
    </row>
    <row r="29" spans="2:10" ht="17.25" customHeight="1" x14ac:dyDescent="0.2">
      <c r="C29" s="108" t="s">
        <v>68</v>
      </c>
      <c r="D29" s="64"/>
      <c r="E29" s="286"/>
      <c r="F29" s="286"/>
      <c r="G29" s="286"/>
      <c r="H29" s="286"/>
      <c r="I29" s="286"/>
      <c r="J29" s="287"/>
    </row>
    <row r="30" spans="2:10" ht="17.25" customHeight="1" x14ac:dyDescent="0.2">
      <c r="B30" s="55"/>
      <c r="C30" s="232" t="s">
        <v>0</v>
      </c>
      <c r="D30" s="64"/>
      <c r="E30" s="296">
        <v>0</v>
      </c>
      <c r="F30" s="296">
        <f>+'5. Fundo de Maneio'!E15</f>
        <v>0</v>
      </c>
      <c r="G30" s="296">
        <f>+'5. Fundo de Maneio'!F15</f>
        <v>0</v>
      </c>
      <c r="H30" s="296">
        <f>+'5. Fundo de Maneio'!G15</f>
        <v>0</v>
      </c>
      <c r="I30" s="296">
        <f>+'5. Fundo de Maneio'!H15</f>
        <v>0</v>
      </c>
      <c r="J30" s="296">
        <f>+'5. Fundo de Maneio'!I15</f>
        <v>0</v>
      </c>
    </row>
    <row r="31" spans="2:10" ht="17.25" customHeight="1" x14ac:dyDescent="0.2">
      <c r="B31" s="55"/>
      <c r="C31" s="232" t="s">
        <v>243</v>
      </c>
      <c r="D31" s="64"/>
      <c r="E31" s="296"/>
      <c r="F31" s="296"/>
      <c r="G31" s="296"/>
      <c r="H31" s="296"/>
      <c r="I31" s="296"/>
      <c r="J31" s="296"/>
    </row>
    <row r="32" spans="2:10" ht="17.25" customHeight="1" x14ac:dyDescent="0.2">
      <c r="B32" s="55"/>
      <c r="C32" s="241" t="s">
        <v>116</v>
      </c>
      <c r="D32" s="50"/>
      <c r="E32" s="296"/>
      <c r="F32" s="296"/>
      <c r="G32" s="296"/>
      <c r="H32" s="296"/>
      <c r="I32" s="296"/>
      <c r="J32" s="296"/>
    </row>
    <row r="33" spans="2:10" ht="17.25" customHeight="1" x14ac:dyDescent="0.2">
      <c r="B33" s="55"/>
      <c r="C33" s="281" t="s">
        <v>17</v>
      </c>
      <c r="D33" s="50"/>
      <c r="E33" s="296">
        <f ca="1">-'1.Demonstração de Resultados'!E28</f>
        <v>9000</v>
      </c>
      <c r="F33" s="296">
        <f ca="1">-'1.Demonstração de Resultados'!F28</f>
        <v>11016</v>
      </c>
      <c r="G33" s="296">
        <f ca="1">-'1.Demonstração de Resultados'!G28</f>
        <v>13483.583999999999</v>
      </c>
      <c r="H33" s="296">
        <f ca="1">-'1.Demonstração de Resultados'!H28</f>
        <v>16503.906815999999</v>
      </c>
      <c r="I33" s="296">
        <f ca="1">-'1.Demonstração de Resultados'!I28</f>
        <v>20200.781942784</v>
      </c>
      <c r="J33" s="296">
        <f ca="1">-'1.Demonstração de Resultados'!J28</f>
        <v>24725.757097967613</v>
      </c>
    </row>
    <row r="34" spans="2:10" ht="17.25" customHeight="1" x14ac:dyDescent="0.2">
      <c r="B34" s="55"/>
      <c r="C34" s="281" t="s">
        <v>77</v>
      </c>
      <c r="D34" s="50"/>
      <c r="E34" s="296">
        <v>0</v>
      </c>
      <c r="F34" s="296">
        <f>'5. Fundo de Maneio'!E17</f>
        <v>0</v>
      </c>
      <c r="G34" s="296">
        <f>'5. Fundo de Maneio'!F17</f>
        <v>0</v>
      </c>
      <c r="H34" s="296">
        <f>'5. Fundo de Maneio'!G17</f>
        <v>0</v>
      </c>
      <c r="I34" s="296">
        <f>'5. Fundo de Maneio'!H17</f>
        <v>0</v>
      </c>
      <c r="J34" s="296">
        <f>'5. Fundo de Maneio'!I17</f>
        <v>0</v>
      </c>
    </row>
    <row r="35" spans="2:10" ht="17.25" customHeight="1" x14ac:dyDescent="0.2">
      <c r="B35" s="55"/>
      <c r="C35" s="281" t="s">
        <v>35</v>
      </c>
      <c r="D35" s="50"/>
      <c r="E35" s="296">
        <v>0</v>
      </c>
      <c r="F35" s="296">
        <f>'5. Fundo de Maneio'!E18</f>
        <v>1533.3333333333333</v>
      </c>
      <c r="G35" s="296">
        <f>'5. Fundo de Maneio'!F18</f>
        <v>1876.8000000000002</v>
      </c>
      <c r="H35" s="296">
        <f>'5. Fundo de Maneio'!G18</f>
        <v>2297.2032000000004</v>
      </c>
      <c r="I35" s="296">
        <f>'5. Fundo de Maneio'!H18</f>
        <v>2811.7767168000005</v>
      </c>
      <c r="J35" s="296">
        <f>'5. Fundo de Maneio'!I18</f>
        <v>3441.6147013632003</v>
      </c>
    </row>
    <row r="36" spans="2:10" ht="17.25" customHeight="1" x14ac:dyDescent="0.2">
      <c r="B36" s="55"/>
      <c r="C36" s="281" t="s">
        <v>228</v>
      </c>
      <c r="D36" s="50"/>
      <c r="E36" s="296">
        <v>0</v>
      </c>
      <c r="F36" s="296">
        <f>'5. Fundo de Maneio'!E19</f>
        <v>0</v>
      </c>
      <c r="G36" s="296">
        <f>'5. Fundo de Maneio'!F19</f>
        <v>0</v>
      </c>
      <c r="H36" s="296">
        <f>'5. Fundo de Maneio'!G19</f>
        <v>0</v>
      </c>
      <c r="I36" s="296">
        <f>'5. Fundo de Maneio'!H19</f>
        <v>0</v>
      </c>
      <c r="J36" s="296">
        <f>'5. Fundo de Maneio'!I19</f>
        <v>0</v>
      </c>
    </row>
    <row r="37" spans="2:10" ht="17.25" customHeight="1" x14ac:dyDescent="0.2">
      <c r="B37" s="55"/>
      <c r="C37" s="281" t="s">
        <v>229</v>
      </c>
      <c r="D37" s="50"/>
      <c r="E37" s="296">
        <v>0</v>
      </c>
      <c r="F37" s="296">
        <f>'5. Fundo de Maneio'!E20</f>
        <v>0</v>
      </c>
      <c r="G37" s="296">
        <f>'5. Fundo de Maneio'!F20</f>
        <v>0</v>
      </c>
      <c r="H37" s="296">
        <f>'5. Fundo de Maneio'!G20</f>
        <v>0</v>
      </c>
      <c r="I37" s="296">
        <f>'5. Fundo de Maneio'!H20</f>
        <v>0</v>
      </c>
      <c r="J37" s="296">
        <f>'5. Fundo de Maneio'!I20</f>
        <v>0</v>
      </c>
    </row>
    <row r="38" spans="2:10" ht="12.75" customHeight="1" x14ac:dyDescent="0.2">
      <c r="C38" s="241" t="s">
        <v>84</v>
      </c>
      <c r="D38" s="50"/>
      <c r="E38" s="290">
        <v>0</v>
      </c>
      <c r="F38" s="290">
        <f>+'5. Fundo de Maneio'!E21</f>
        <v>0</v>
      </c>
      <c r="G38" s="290">
        <f>+'5. Fundo de Maneio'!F21</f>
        <v>0</v>
      </c>
      <c r="H38" s="290">
        <f>+'5. Fundo de Maneio'!G21</f>
        <v>0</v>
      </c>
      <c r="I38" s="290">
        <f>+'5. Fundo de Maneio'!H21</f>
        <v>0</v>
      </c>
      <c r="J38" s="290">
        <f>+'5. Fundo de Maneio'!I21</f>
        <v>0</v>
      </c>
    </row>
    <row r="39" spans="2:10" ht="9.75" customHeight="1" x14ac:dyDescent="0.2">
      <c r="B39" s="55"/>
      <c r="E39" s="250"/>
      <c r="F39" s="250"/>
      <c r="G39" s="250"/>
      <c r="H39" s="250"/>
      <c r="I39" s="250"/>
      <c r="J39" s="250"/>
    </row>
    <row r="40" spans="2:10" ht="17.25" customHeight="1" x14ac:dyDescent="0.2">
      <c r="C40" s="25" t="s">
        <v>333</v>
      </c>
      <c r="D40" s="298"/>
      <c r="E40" s="300">
        <f t="shared" ref="E40:J40" ca="1" si="4">+E41-E44</f>
        <v>0</v>
      </c>
      <c r="F40" s="300">
        <f t="shared" ca="1" si="4"/>
        <v>0</v>
      </c>
      <c r="G40" s="300">
        <f t="shared" ca="1" si="4"/>
        <v>0</v>
      </c>
      <c r="H40" s="300">
        <f t="shared" ca="1" si="4"/>
        <v>0</v>
      </c>
      <c r="I40" s="300">
        <f t="shared" ca="1" si="4"/>
        <v>0</v>
      </c>
      <c r="J40" s="301">
        <f t="shared" ca="1" si="4"/>
        <v>1.4551915228366852E-11</v>
      </c>
    </row>
    <row r="41" spans="2:10" ht="17.25" customHeight="1" x14ac:dyDescent="0.2">
      <c r="C41" s="236" t="s">
        <v>28</v>
      </c>
      <c r="D41" s="302"/>
      <c r="E41" s="297">
        <f ca="1">+SUM(E42:E43)</f>
        <v>0</v>
      </c>
      <c r="F41" s="297">
        <f t="shared" ref="F41:J41" ca="1" si="5">+SUM(F42:F43)</f>
        <v>0</v>
      </c>
      <c r="G41" s="297">
        <f t="shared" ca="1" si="5"/>
        <v>0</v>
      </c>
      <c r="H41" s="297">
        <f t="shared" ca="1" si="5"/>
        <v>0</v>
      </c>
      <c r="I41" s="297">
        <f t="shared" ca="1" si="5"/>
        <v>0</v>
      </c>
      <c r="J41" s="297">
        <f t="shared" ca="1" si="5"/>
        <v>1.4551915228366852E-11</v>
      </c>
    </row>
    <row r="42" spans="2:10" ht="17.25" customHeight="1" x14ac:dyDescent="0.2">
      <c r="C42" s="241" t="s">
        <v>365</v>
      </c>
      <c r="D42" s="50"/>
      <c r="E42" s="326">
        <f ca="1">+'9. Capital Próprio'!E17-'9. Capital Próprio'!E10+'9. Capital Próprio'!E12-'9. Capital Próprio'!E14</f>
        <v>0</v>
      </c>
      <c r="F42" s="326">
        <f ca="1">+'9. Capital Próprio'!F17-'9. Capital Próprio'!F10+'9. Capital Próprio'!F12-'9. Capital Próprio'!F14+'9. Capital Próprio'!E14</f>
        <v>0</v>
      </c>
      <c r="G42" s="326">
        <f ca="1">+'9. Capital Próprio'!G17-'9. Capital Próprio'!G10+'9. Capital Próprio'!G12-'9. Capital Próprio'!G14+'9. Capital Próprio'!F14</f>
        <v>0</v>
      </c>
      <c r="H42" s="326">
        <f ca="1">+'9. Capital Próprio'!H17-'9. Capital Próprio'!H10+'9. Capital Próprio'!H12-'9. Capital Próprio'!H14+'9. Capital Próprio'!G14</f>
        <v>0</v>
      </c>
      <c r="I42" s="326">
        <f ca="1">+'9. Capital Próprio'!I17-'9. Capital Próprio'!I10+'9. Capital Próprio'!I12-'9. Capital Próprio'!I14+'9. Capital Próprio'!H14</f>
        <v>0</v>
      </c>
      <c r="J42" s="326">
        <f ca="1">+'9. Capital Próprio'!J17-'9. Capital Próprio'!J10+'9. Capital Próprio'!J12-'9. Capital Próprio'!J14+'9. Capital Próprio'!I14</f>
        <v>1.4551915228366852E-11</v>
      </c>
    </row>
    <row r="43" spans="2:10" ht="17.25" customHeight="1" x14ac:dyDescent="0.2">
      <c r="C43" s="241" t="s">
        <v>364</v>
      </c>
      <c r="D43" s="64"/>
      <c r="E43" s="296">
        <f>+Pressupostos!G280</f>
        <v>0</v>
      </c>
      <c r="F43" s="296">
        <f>+Pressupostos!H280</f>
        <v>0</v>
      </c>
      <c r="G43" s="296">
        <f>+Pressupostos!I280</f>
        <v>0</v>
      </c>
      <c r="H43" s="296">
        <f>+Pressupostos!J280</f>
        <v>0</v>
      </c>
      <c r="I43" s="296">
        <f>+Pressupostos!K280</f>
        <v>0</v>
      </c>
      <c r="J43" s="296">
        <f>+Pressupostos!L280</f>
        <v>0</v>
      </c>
    </row>
    <row r="44" spans="2:10" ht="17.25" customHeight="1" x14ac:dyDescent="0.2">
      <c r="C44" s="210" t="s">
        <v>29</v>
      </c>
      <c r="D44" s="302"/>
      <c r="E44" s="297">
        <f t="shared" ref="E44:J44" ca="1" si="6">+SUM(E45:E49)</f>
        <v>0</v>
      </c>
      <c r="F44" s="297">
        <f t="shared" ca="1" si="6"/>
        <v>0</v>
      </c>
      <c r="G44" s="297">
        <f t="shared" ca="1" si="6"/>
        <v>0</v>
      </c>
      <c r="H44" s="297">
        <f t="shared" ca="1" si="6"/>
        <v>0</v>
      </c>
      <c r="I44" s="297">
        <f t="shared" ca="1" si="6"/>
        <v>0</v>
      </c>
      <c r="J44" s="297">
        <f t="shared" ca="1" si="6"/>
        <v>0</v>
      </c>
    </row>
    <row r="45" spans="2:10" ht="17.25" customHeight="1" x14ac:dyDescent="0.2">
      <c r="C45" s="232" t="s">
        <v>364</v>
      </c>
      <c r="D45" s="64"/>
      <c r="E45" s="296"/>
      <c r="F45" s="296"/>
      <c r="G45" s="296"/>
      <c r="H45" s="296"/>
      <c r="I45" s="296"/>
      <c r="J45" s="296"/>
    </row>
    <row r="46" spans="2:10" ht="17.25" customHeight="1" x14ac:dyDescent="0.2">
      <c r="C46" s="281" t="s">
        <v>23</v>
      </c>
      <c r="D46" s="64"/>
      <c r="E46" s="296">
        <f>+'7. Serviço da Dívida'!E9</f>
        <v>0</v>
      </c>
      <c r="F46" s="296">
        <f ca="1">+'7. Serviço da Dívida'!F9</f>
        <v>0</v>
      </c>
      <c r="G46" s="296">
        <f ca="1">+'7. Serviço da Dívida'!G9</f>
        <v>0</v>
      </c>
      <c r="H46" s="296">
        <f ca="1">+'7. Serviço da Dívida'!H9</f>
        <v>0</v>
      </c>
      <c r="I46" s="296">
        <f ca="1">+'7. Serviço da Dívida'!I9</f>
        <v>0</v>
      </c>
      <c r="J46" s="296">
        <f ca="1">+'7. Serviço da Dívida'!J9</f>
        <v>0</v>
      </c>
    </row>
    <row r="47" spans="2:10" ht="17.25" customHeight="1" x14ac:dyDescent="0.2">
      <c r="C47" s="232" t="s">
        <v>70</v>
      </c>
      <c r="D47" s="64"/>
      <c r="E47" s="296"/>
      <c r="F47" s="296"/>
      <c r="G47" s="296"/>
      <c r="H47" s="296"/>
      <c r="I47" s="296"/>
      <c r="J47" s="296"/>
    </row>
    <row r="48" spans="2:10" ht="17.25" customHeight="1" x14ac:dyDescent="0.2">
      <c r="C48" s="505" t="s">
        <v>18</v>
      </c>
      <c r="D48" s="64"/>
      <c r="E48" s="296">
        <v>0</v>
      </c>
      <c r="F48" s="296">
        <f ca="1">+'9. Capital Próprio'!F12</f>
        <v>0</v>
      </c>
      <c r="G48" s="296">
        <f ca="1">+'9. Capital Próprio'!G12</f>
        <v>0</v>
      </c>
      <c r="H48" s="296">
        <f ca="1">+'9. Capital Próprio'!H12</f>
        <v>0</v>
      </c>
      <c r="I48" s="296">
        <f ca="1">+'9. Capital Próprio'!I12</f>
        <v>0</v>
      </c>
      <c r="J48" s="296">
        <f ca="1">+'9. Capital Próprio'!J12</f>
        <v>0</v>
      </c>
    </row>
    <row r="49" spans="2:10" ht="17.25" customHeight="1" x14ac:dyDescent="0.2">
      <c r="C49" s="281" t="str">
        <f>+'7. Serviço da Dívida'!C12</f>
        <v>Juros e Gastos Similares Suportados</v>
      </c>
      <c r="D49" s="64"/>
      <c r="E49" s="296">
        <f ca="1">+'7. Serviço da Dívida'!E12</f>
        <v>0</v>
      </c>
      <c r="F49" s="296">
        <f ca="1">+'7. Serviço da Dívida'!F12</f>
        <v>0</v>
      </c>
      <c r="G49" s="296">
        <f ca="1">+'7. Serviço da Dívida'!G12</f>
        <v>0</v>
      </c>
      <c r="H49" s="296">
        <f ca="1">+'7. Serviço da Dívida'!H12</f>
        <v>0</v>
      </c>
      <c r="I49" s="296">
        <f ca="1">+'7. Serviço da Dívida'!I12</f>
        <v>0</v>
      </c>
      <c r="J49" s="296">
        <f ca="1">+'7. Serviço da Dívida'!J12</f>
        <v>0</v>
      </c>
    </row>
    <row r="50" spans="2:10" ht="9.75" customHeight="1" x14ac:dyDescent="0.2">
      <c r="B50" s="55"/>
      <c r="E50" s="250"/>
      <c r="F50" s="250"/>
      <c r="G50" s="250"/>
      <c r="H50" s="250"/>
      <c r="I50" s="250"/>
      <c r="J50" s="250"/>
    </row>
    <row r="51" spans="2:10" ht="17.25" customHeight="1" x14ac:dyDescent="0.2">
      <c r="C51" s="25" t="s">
        <v>215</v>
      </c>
      <c r="D51" s="298"/>
      <c r="E51" s="300">
        <f>-E55+E53</f>
        <v>0</v>
      </c>
      <c r="F51" s="300">
        <f t="shared" ref="F51:J51" si="7">-F55+F53</f>
        <v>0</v>
      </c>
      <c r="G51" s="300">
        <f t="shared" si="7"/>
        <v>0</v>
      </c>
      <c r="H51" s="300">
        <f t="shared" si="7"/>
        <v>0</v>
      </c>
      <c r="I51" s="300">
        <f t="shared" si="7"/>
        <v>0</v>
      </c>
      <c r="J51" s="300">
        <f t="shared" si="7"/>
        <v>0</v>
      </c>
    </row>
    <row r="52" spans="2:10" ht="17.25" customHeight="1" x14ac:dyDescent="0.2">
      <c r="C52" s="128" t="s">
        <v>28</v>
      </c>
      <c r="D52" s="64"/>
      <c r="E52" s="295"/>
      <c r="F52" s="295"/>
      <c r="G52" s="295"/>
      <c r="H52" s="295"/>
      <c r="I52" s="295"/>
      <c r="J52" s="294"/>
    </row>
    <row r="53" spans="2:10" ht="17.25" customHeight="1" x14ac:dyDescent="0.2">
      <c r="C53" s="505" t="s">
        <v>569</v>
      </c>
      <c r="D53" s="64"/>
      <c r="E53" s="296">
        <f>+Pressupostos!G252</f>
        <v>0</v>
      </c>
      <c r="F53" s="296">
        <f>+Pressupostos!H252</f>
        <v>0</v>
      </c>
      <c r="G53" s="296">
        <f>+Pressupostos!I252</f>
        <v>0</v>
      </c>
      <c r="H53" s="296">
        <f>+Pressupostos!J252</f>
        <v>0</v>
      </c>
      <c r="I53" s="296">
        <f>+Pressupostos!K252</f>
        <v>0</v>
      </c>
      <c r="J53" s="296">
        <f>+Pressupostos!L252</f>
        <v>0</v>
      </c>
    </row>
    <row r="54" spans="2:10" ht="17.25" customHeight="1" x14ac:dyDescent="0.2">
      <c r="C54" s="128" t="s">
        <v>29</v>
      </c>
      <c r="D54" s="64"/>
      <c r="E54" s="295"/>
      <c r="F54" s="295"/>
      <c r="G54" s="295"/>
      <c r="H54" s="295"/>
      <c r="I54" s="295"/>
      <c r="J54" s="294"/>
    </row>
    <row r="55" spans="2:10" ht="17.25" customHeight="1" x14ac:dyDescent="0.2">
      <c r="C55" s="505" t="s">
        <v>366</v>
      </c>
      <c r="D55" s="64"/>
      <c r="E55" s="296">
        <f>+'6. Investimento'!F6+Pressupostos!G212</f>
        <v>0</v>
      </c>
      <c r="F55" s="296">
        <f>+'6. Investimento'!G6+Pressupostos!H212</f>
        <v>0</v>
      </c>
      <c r="G55" s="296">
        <f>+'6. Investimento'!H6+Pressupostos!I212</f>
        <v>0</v>
      </c>
      <c r="H55" s="296">
        <f>+'6. Investimento'!I6+Pressupostos!J212</f>
        <v>0</v>
      </c>
      <c r="I55" s="296">
        <f>+'6. Investimento'!J6+Pressupostos!K212</f>
        <v>0</v>
      </c>
      <c r="J55" s="296">
        <f>+'6. Investimento'!K6+Pressupostos!L212</f>
        <v>0</v>
      </c>
    </row>
    <row r="56" spans="2:10" ht="9.75" customHeight="1" x14ac:dyDescent="0.2">
      <c r="B56" s="55"/>
      <c r="E56" s="250"/>
      <c r="F56" s="250"/>
      <c r="G56" s="250"/>
      <c r="H56" s="250"/>
      <c r="I56" s="250"/>
      <c r="J56" s="250"/>
    </row>
    <row r="57" spans="2:10" ht="17.25" customHeight="1" x14ac:dyDescent="0.2">
      <c r="C57" s="134" t="s">
        <v>71</v>
      </c>
      <c r="D57" s="233"/>
      <c r="E57" s="292">
        <v>0</v>
      </c>
      <c r="F57" s="293">
        <f ca="1">+E58+E60</f>
        <v>32533.333333333332</v>
      </c>
      <c r="G57" s="293">
        <f t="shared" ref="G57:J57" ca="1" si="8">+F58+F60</f>
        <v>70820.800000000003</v>
      </c>
      <c r="H57" s="293">
        <f t="shared" ca="1" si="8"/>
        <v>117684.65920000001</v>
      </c>
      <c r="I57" s="293">
        <f t="shared" ca="1" si="8"/>
        <v>175046.0228608</v>
      </c>
      <c r="J57" s="293">
        <f t="shared" ca="1" si="8"/>
        <v>245256.33198161921</v>
      </c>
    </row>
    <row r="58" spans="2:10" ht="17.25" customHeight="1" x14ac:dyDescent="0.2">
      <c r="C58" s="134" t="s">
        <v>72</v>
      </c>
      <c r="D58" s="234"/>
      <c r="E58" s="293">
        <f ca="1">+E51+E40+E6</f>
        <v>32533.333333333332</v>
      </c>
      <c r="F58" s="293">
        <f t="shared" ref="F58:J58" ca="1" si="9">+F51+F40+F6+F57</f>
        <v>70820.800000000003</v>
      </c>
      <c r="G58" s="293">
        <f ca="1">+G51+G40+G6+G57</f>
        <v>117684.65920000001</v>
      </c>
      <c r="H58" s="293">
        <f t="shared" ca="1" si="9"/>
        <v>175046.0228608</v>
      </c>
      <c r="I58" s="293">
        <f t="shared" ca="1" si="9"/>
        <v>245256.33198161921</v>
      </c>
      <c r="J58" s="293">
        <f t="shared" ca="1" si="9"/>
        <v>331193.75034550193</v>
      </c>
    </row>
    <row r="59" spans="2:10" ht="9.75" customHeight="1" x14ac:dyDescent="0.2">
      <c r="B59" s="55"/>
      <c r="E59" s="250"/>
      <c r="F59" s="250"/>
      <c r="G59" s="250"/>
      <c r="H59" s="250"/>
      <c r="I59" s="250"/>
      <c r="J59" s="250"/>
    </row>
    <row r="60" spans="2:10" ht="17.25" customHeight="1" x14ac:dyDescent="0.2">
      <c r="C60" s="515" t="s">
        <v>449</v>
      </c>
      <c r="D60" s="234"/>
      <c r="E60" s="293" t="str">
        <f ca="1">+IF(E58&lt;Pressupostos!$E$239,IF(Pressupostos!$E$239-E58&lt;Pressupostos!$E$240,Pressupostos!$E$240,Pressupostos!$E$239-E58),"0")</f>
        <v>0</v>
      </c>
      <c r="F60" s="293" t="str">
        <f ca="1">+IF(F58&lt;Pressupostos!$E$239,IF(Pressupostos!$E$239-F58&lt;Pressupostos!$E$240,Pressupostos!$E$240,Pressupostos!$E$239-F58),"0")</f>
        <v>0</v>
      </c>
      <c r="G60" s="293" t="str">
        <f ca="1">+IF(G58&lt;Pressupostos!$E$239,IF(Pressupostos!$E$239-G58&lt;Pressupostos!$E$240,Pressupostos!$E$240,Pressupostos!$E$239-G58),"0")</f>
        <v>0</v>
      </c>
      <c r="H60" s="293" t="str">
        <f ca="1">+IF(H58&lt;Pressupostos!$E$239,IF(Pressupostos!$E$239-H58&lt;Pressupostos!$E$240,Pressupostos!$E$240,Pressupostos!$E$239-H58),"0")</f>
        <v>0</v>
      </c>
      <c r="I60" s="293" t="str">
        <f ca="1">+IF(I58&lt;Pressupostos!$E$239,IF(Pressupostos!$E$239-I58&lt;Pressupostos!$E$240,Pressupostos!$E$240,Pressupostos!$E$239-I58),"0")</f>
        <v>0</v>
      </c>
      <c r="J60" s="293" t="str">
        <f ca="1">+IF(J58&lt;Pressupostos!$E$239,IF(Pressupostos!$E$239-J58&lt;Pressupostos!$E$240,Pressupostos!$E$240,Pressupostos!$E$239-J58),"0")</f>
        <v>0</v>
      </c>
    </row>
    <row r="61" spans="2:10" ht="9.75" customHeight="1" x14ac:dyDescent="0.2">
      <c r="B61" s="55"/>
      <c r="E61" s="250"/>
      <c r="F61" s="250"/>
      <c r="G61" s="250"/>
      <c r="H61" s="250"/>
      <c r="I61" s="250"/>
      <c r="J61" s="250"/>
    </row>
    <row r="62" spans="2:10" ht="20.25" customHeight="1" x14ac:dyDescent="0.2">
      <c r="D62" s="367"/>
    </row>
    <row r="63" spans="2:10" customFormat="1" ht="15" x14ac:dyDescent="0.25">
      <c r="B63" s="21"/>
      <c r="C63" s="684" t="s">
        <v>660</v>
      </c>
      <c r="D63" s="685"/>
      <c r="E63" s="7"/>
    </row>
    <row r="64" spans="2:10" customFormat="1" ht="15" x14ac:dyDescent="0.25">
      <c r="B64" s="21"/>
      <c r="D64" s="685"/>
      <c r="E64" s="7"/>
    </row>
    <row r="65" spans="2:10" customFormat="1" ht="15" x14ac:dyDescent="0.25">
      <c r="B65" s="21"/>
      <c r="D65" s="685"/>
      <c r="E65" s="7"/>
    </row>
    <row r="66" spans="2:10" customFormat="1" ht="15" x14ac:dyDescent="0.25">
      <c r="B66" s="21"/>
      <c r="D66" s="685"/>
      <c r="E66" s="7"/>
    </row>
    <row r="67" spans="2:10" customFormat="1" ht="15" x14ac:dyDescent="0.25">
      <c r="B67" s="21"/>
      <c r="D67" s="685"/>
      <c r="E67" s="7"/>
    </row>
    <row r="68" spans="2:10" ht="16.5" customHeight="1" x14ac:dyDescent="0.2"/>
    <row r="69" spans="2:10" ht="0" hidden="1" customHeight="1" x14ac:dyDescent="0.2">
      <c r="C69" s="58" t="s">
        <v>44</v>
      </c>
      <c r="D69" s="109"/>
      <c r="E69" s="291"/>
      <c r="F69" s="291"/>
      <c r="G69" s="291"/>
      <c r="H69" s="291"/>
      <c r="I69" s="291"/>
      <c r="J69" s="291"/>
    </row>
    <row r="70" spans="2:10" ht="0" hidden="1" customHeight="1" x14ac:dyDescent="0.2">
      <c r="C70" s="58" t="s">
        <v>45</v>
      </c>
      <c r="D70" s="40"/>
      <c r="E70" s="291"/>
      <c r="F70" s="291"/>
      <c r="G70" s="291"/>
      <c r="H70" s="291"/>
      <c r="I70" s="291"/>
      <c r="J70" s="291"/>
    </row>
    <row r="71" spans="2:10" ht="0" hidden="1" customHeight="1" x14ac:dyDescent="0.2">
      <c r="C71" s="58" t="s">
        <v>42</v>
      </c>
      <c r="D71" s="40"/>
      <c r="E71" s="291"/>
      <c r="F71" s="291"/>
      <c r="G71" s="291"/>
      <c r="H71" s="291"/>
      <c r="I71" s="291"/>
      <c r="J71" s="291"/>
    </row>
    <row r="72" spans="2:10" ht="0" hidden="1" customHeight="1" x14ac:dyDescent="0.2">
      <c r="C72" s="128" t="s">
        <v>68</v>
      </c>
      <c r="D72" s="109"/>
      <c r="E72" s="286"/>
      <c r="F72" s="286"/>
      <c r="G72" s="286"/>
      <c r="H72" s="286"/>
      <c r="I72" s="286"/>
      <c r="J72" s="287"/>
    </row>
    <row r="73" spans="2:10" ht="0" hidden="1" customHeight="1" x14ac:dyDescent="0.2">
      <c r="C73" s="58" t="s">
        <v>43</v>
      </c>
      <c r="D73" s="40"/>
      <c r="E73" s="291"/>
      <c r="F73" s="291"/>
      <c r="G73" s="291"/>
      <c r="H73" s="291"/>
      <c r="I73" s="291"/>
      <c r="J73" s="291"/>
    </row>
    <row r="74" spans="2:10" ht="0" hidden="1" customHeight="1" x14ac:dyDescent="0.2">
      <c r="C74" s="58" t="s">
        <v>14</v>
      </c>
      <c r="D74" s="40"/>
      <c r="E74" s="291"/>
      <c r="F74" s="291"/>
      <c r="G74" s="291"/>
      <c r="H74" s="291"/>
      <c r="I74" s="291"/>
      <c r="J74" s="291"/>
    </row>
    <row r="75" spans="2:10" ht="0" hidden="1" customHeight="1" x14ac:dyDescent="0.2">
      <c r="C75" s="58" t="s">
        <v>44</v>
      </c>
      <c r="D75" s="109"/>
      <c r="E75" s="291"/>
      <c r="F75" s="291"/>
      <c r="G75" s="291"/>
      <c r="H75" s="291"/>
      <c r="I75" s="291"/>
      <c r="J75" s="291"/>
    </row>
    <row r="76" spans="2:10" ht="0" hidden="1" customHeight="1" x14ac:dyDescent="0.2">
      <c r="C76" s="58" t="s">
        <v>45</v>
      </c>
      <c r="D76" s="40"/>
      <c r="E76" s="291"/>
      <c r="F76" s="291"/>
      <c r="G76" s="291"/>
      <c r="H76" s="291"/>
      <c r="I76" s="291"/>
      <c r="J76" s="291"/>
    </row>
    <row r="77" spans="2:10" ht="0" hidden="1" customHeight="1" x14ac:dyDescent="0.2">
      <c r="C77" s="128" t="s">
        <v>21</v>
      </c>
      <c r="D77" s="109"/>
      <c r="E77" s="286"/>
      <c r="F77" s="286"/>
      <c r="G77" s="286"/>
      <c r="H77" s="286"/>
      <c r="I77" s="286"/>
      <c r="J77" s="287"/>
    </row>
    <row r="78" spans="2:10" ht="0" hidden="1" customHeight="1" x14ac:dyDescent="0.2">
      <c r="C78" s="58" t="s">
        <v>69</v>
      </c>
      <c r="D78" s="40"/>
      <c r="E78" s="291"/>
      <c r="F78" s="291"/>
      <c r="G78" s="291"/>
      <c r="H78" s="291"/>
      <c r="I78" s="291"/>
      <c r="J78" s="291"/>
    </row>
  </sheetData>
  <sheetProtection algorithmName="SHA-512" hashValue="tnkS0+IHeJ1oZni7b1ze+/k/CBeKBaez9S/W0xlpCglmHL/LNJKCopO+USva2YBB+gM9hW0tvYsdqwTBcUToxw==" saltValue="LDqd7cvN2VzF67Q/xCYE5g=="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80" zoomScaleNormal="80" workbookViewId="0">
      <pane xSplit="3" ySplit="4" topLeftCell="D5" activePane="bottomRight" state="frozen"/>
      <selection pane="topRight" activeCell="E1" sqref="E1"/>
      <selection pane="bottomLeft" activeCell="A5" sqref="A5"/>
      <selection pane="bottomRight" activeCell="J14" sqref="J14"/>
    </sheetView>
  </sheetViews>
  <sheetFormatPr defaultColWidth="0" defaultRowHeight="0" customHeight="1" zeroHeight="1" x14ac:dyDescent="0.2"/>
  <cols>
    <col min="1" max="1" width="0.85546875" style="5" customWidth="1"/>
    <col min="2" max="2" width="5" style="5" customWidth="1"/>
    <col min="3" max="3" width="35" style="5" bestFit="1" customWidth="1"/>
    <col min="4" max="4" width="2" style="5" customWidth="1"/>
    <col min="5" max="10" width="10.85546875" style="158" customWidth="1"/>
    <col min="11" max="11" width="34.42578125" style="4" customWidth="1"/>
    <col min="12" max="15" width="0" style="5" hidden="1" customWidth="1"/>
    <col min="16" max="16384" width="9.140625" style="5" hidden="1"/>
  </cols>
  <sheetData>
    <row r="1" spans="3:11" ht="12.75" x14ac:dyDescent="0.2">
      <c r="C1" s="55"/>
    </row>
    <row r="2" spans="3:11" s="146" customFormat="1" ht="17.25" customHeight="1" x14ac:dyDescent="0.25">
      <c r="C2" s="148" t="s">
        <v>690</v>
      </c>
      <c r="D2" s="248"/>
      <c r="E2" s="225"/>
      <c r="F2" s="225"/>
      <c r="G2" s="225"/>
      <c r="H2" s="225"/>
      <c r="I2" s="225"/>
      <c r="J2" s="225"/>
      <c r="K2" s="362"/>
    </row>
    <row r="3" spans="3:11" ht="12.75" x14ac:dyDescent="0.2"/>
    <row r="4" spans="3:11" ht="13.5" thickBot="1" x14ac:dyDescent="0.25">
      <c r="C4" s="82" t="str">
        <f>+Capa!C13</f>
        <v>Gaming’Us</v>
      </c>
      <c r="D4" s="37"/>
      <c r="E4" s="268">
        <f>+AnoN</f>
        <v>2023</v>
      </c>
      <c r="F4" s="268">
        <f>+E4+1</f>
        <v>2024</v>
      </c>
      <c r="G4" s="268">
        <f t="shared" ref="G4:J4" si="0">+F4+1</f>
        <v>2025</v>
      </c>
      <c r="H4" s="268">
        <f t="shared" si="0"/>
        <v>2026</v>
      </c>
      <c r="I4" s="268">
        <f t="shared" si="0"/>
        <v>2027</v>
      </c>
      <c r="J4" s="268">
        <f t="shared" si="0"/>
        <v>2028</v>
      </c>
    </row>
    <row r="5" spans="3:11" s="249" customFormat="1" ht="6.75" customHeight="1" thickTop="1" x14ac:dyDescent="0.25">
      <c r="E5" s="249">
        <v>1</v>
      </c>
      <c r="F5" s="249">
        <v>2</v>
      </c>
      <c r="G5" s="249">
        <v>3</v>
      </c>
      <c r="H5" s="249">
        <v>4</v>
      </c>
      <c r="I5" s="249">
        <v>5</v>
      </c>
      <c r="J5" s="249">
        <v>10</v>
      </c>
      <c r="K5" s="363"/>
    </row>
    <row r="6" spans="3:11" ht="6.75" hidden="1" customHeight="1" x14ac:dyDescent="0.2"/>
    <row r="7" spans="3:11" ht="17.25" customHeight="1" x14ac:dyDescent="0.2">
      <c r="C7" s="305" t="s">
        <v>4</v>
      </c>
      <c r="D7" s="306"/>
      <c r="E7" s="307"/>
      <c r="F7" s="307"/>
      <c r="G7" s="307"/>
      <c r="H7" s="307"/>
      <c r="I7" s="307"/>
      <c r="J7" s="157"/>
      <c r="K7" s="748"/>
    </row>
    <row r="8" spans="3:11" ht="17.25" customHeight="1" x14ac:dyDescent="0.2">
      <c r="C8" s="49" t="s">
        <v>232</v>
      </c>
      <c r="D8" s="64"/>
      <c r="E8" s="308">
        <f>+Pressupostos!G261+Pressupostos!G265</f>
        <v>0</v>
      </c>
      <c r="F8" s="308">
        <f>+E8+Pressupostos!H265+Pressupostos!H261</f>
        <v>0</v>
      </c>
      <c r="G8" s="308">
        <f>+F8+Pressupostos!I265+Pressupostos!I261</f>
        <v>0</v>
      </c>
      <c r="H8" s="308">
        <f>+G8+Pressupostos!J265+Pressupostos!J261</f>
        <v>0</v>
      </c>
      <c r="I8" s="308">
        <f>+H8+Pressupostos!K265+Pressupostos!K261</f>
        <v>0</v>
      </c>
      <c r="J8" s="308">
        <f>+I8+Pressupostos!L265+Pressupostos!L261</f>
        <v>0</v>
      </c>
      <c r="K8" s="749"/>
    </row>
    <row r="9" spans="3:11" ht="17.25" customHeight="1" x14ac:dyDescent="0.2">
      <c r="C9" s="49" t="s">
        <v>236</v>
      </c>
      <c r="D9" s="64"/>
      <c r="E9" s="308">
        <f>+Pressupostos!G263+Pressupostos!G266</f>
        <v>0</v>
      </c>
      <c r="F9" s="308">
        <f>+E$9+Pressupostos!H$263+Pressupostos!H266</f>
        <v>0</v>
      </c>
      <c r="G9" s="308">
        <f>+F$9+Pressupostos!I$263+Pressupostos!I266</f>
        <v>0</v>
      </c>
      <c r="H9" s="308">
        <f>+G$9+Pressupostos!J$263+Pressupostos!J266</f>
        <v>0</v>
      </c>
      <c r="I9" s="308">
        <f>+H$9+Pressupostos!K$263+Pressupostos!K266</f>
        <v>0</v>
      </c>
      <c r="J9" s="308">
        <f>+I$9+Pressupostos!L$263+Pressupostos!L266</f>
        <v>0</v>
      </c>
      <c r="K9" s="749"/>
    </row>
    <row r="10" spans="3:11" ht="17.25" customHeight="1" x14ac:dyDescent="0.2">
      <c r="C10" s="49" t="s">
        <v>100</v>
      </c>
      <c r="D10" s="64"/>
      <c r="E10" s="308">
        <f ca="1">+'1.Demonstração de Resultados'!E31</f>
        <v>31000</v>
      </c>
      <c r="F10" s="308">
        <f ca="1">+'1.Demonstração de Resultados'!F31</f>
        <v>37944</v>
      </c>
      <c r="G10" s="308">
        <f ca="1">+'1.Demonstração de Resultados'!G31</f>
        <v>46443.456000000006</v>
      </c>
      <c r="H10" s="308">
        <f ca="1">+'1.Demonstração de Resultados'!H31</f>
        <v>56846.790143999999</v>
      </c>
      <c r="I10" s="308">
        <f ca="1">+'1.Demonstração de Resultados'!I31</f>
        <v>69580.471136256005</v>
      </c>
      <c r="J10" s="308">
        <f ca="1">+'1.Demonstração de Resultados'!J31</f>
        <v>85166.496670777342</v>
      </c>
      <c r="K10" s="749"/>
    </row>
    <row r="11" spans="3:11" ht="17.25" customHeight="1" x14ac:dyDescent="0.2">
      <c r="C11" s="49" t="s">
        <v>241</v>
      </c>
      <c r="D11" s="64"/>
      <c r="E11" s="308"/>
      <c r="F11" s="308">
        <f t="shared" ref="F11:J11" ca="1" si="1">+IF(E10&lt;0,E10+E11,E11+(E10-F12-F13))</f>
        <v>31000</v>
      </c>
      <c r="G11" s="308">
        <f t="shared" ca="1" si="1"/>
        <v>68944</v>
      </c>
      <c r="H11" s="308">
        <f t="shared" ca="1" si="1"/>
        <v>115387.45600000001</v>
      </c>
      <c r="I11" s="308">
        <f t="shared" ca="1" si="1"/>
        <v>172234.246144</v>
      </c>
      <c r="J11" s="308">
        <f t="shared" ca="1" si="1"/>
        <v>241814.71728025601</v>
      </c>
      <c r="K11" s="749"/>
    </row>
    <row r="12" spans="3:11" ht="17.25" customHeight="1" x14ac:dyDescent="0.2">
      <c r="C12" s="49" t="s">
        <v>18</v>
      </c>
      <c r="D12" s="64"/>
      <c r="E12" s="309">
        <f>IF(D10&gt;0,D10*Pressupostos!$G$269,0)</f>
        <v>0</v>
      </c>
      <c r="F12" s="309">
        <f ca="1">IF(E10&gt;0,E10*Pressupostos!$H$269,0)</f>
        <v>0</v>
      </c>
      <c r="G12" s="309">
        <f ca="1">IF(F10&gt;0,F10*Pressupostos!$I$269,0)</f>
        <v>0</v>
      </c>
      <c r="H12" s="309">
        <f ca="1">IF(G10&gt;0,G10*Pressupostos!$J$269,0)</f>
        <v>0</v>
      </c>
      <c r="I12" s="309">
        <f ca="1">IF(H10&gt;0,H10*Pressupostos!$K$269,0)</f>
        <v>0</v>
      </c>
      <c r="J12" s="309">
        <f ca="1">IF(I10&gt;0,I10*Pressupostos!$K$269,0)</f>
        <v>0</v>
      </c>
      <c r="K12" s="364"/>
    </row>
    <row r="13" spans="3:11" ht="17.25" customHeight="1" x14ac:dyDescent="0.2">
      <c r="C13" s="49" t="s">
        <v>148</v>
      </c>
      <c r="D13" s="64"/>
      <c r="E13" s="309">
        <f>+IF(D10&gt;0,D10*Pressupostos!$G$270,0)</f>
        <v>0</v>
      </c>
      <c r="F13" s="309">
        <f ca="1">+IF(E10&gt;0,E10*Pressupostos!$H$270,0)</f>
        <v>0</v>
      </c>
      <c r="G13" s="309">
        <f ca="1">+IF(F10&gt;0,F10*Pressupostos!$I$270,0)</f>
        <v>0</v>
      </c>
      <c r="H13" s="309">
        <f ca="1">+IF(G10&gt;0,G10*Pressupostos!$J$270,0)</f>
        <v>0</v>
      </c>
      <c r="I13" s="309">
        <f ca="1">+IF(H10&gt;0,H10*Pressupostos!$K$270,0)</f>
        <v>0</v>
      </c>
      <c r="J13" s="309">
        <f ca="1">+IF(I10&gt;0,I10*Pressupostos!$K$270,0)</f>
        <v>0</v>
      </c>
    </row>
    <row r="14" spans="3:11" ht="17.25" customHeight="1" x14ac:dyDescent="0.2">
      <c r="C14" s="49" t="s">
        <v>566</v>
      </c>
      <c r="D14" s="64"/>
      <c r="E14" s="309">
        <f>+Pressupostos!G252-Pressupostos!G253-Pressupostos!G255+Pressupostos!G256</f>
        <v>0</v>
      </c>
      <c r="F14" s="309">
        <f>+Pressupostos!H252-Pressupostos!H253-Pressupostos!H255+Pressupostos!H256+E14</f>
        <v>0</v>
      </c>
      <c r="G14" s="309">
        <f>+Pressupostos!I252-Pressupostos!I253-Pressupostos!I255+Pressupostos!I256+F14</f>
        <v>0</v>
      </c>
      <c r="H14" s="309">
        <f>+Pressupostos!J252-Pressupostos!J253-Pressupostos!J255+Pressupostos!J256+G14</f>
        <v>0</v>
      </c>
      <c r="I14" s="309">
        <f>+Pressupostos!K252-Pressupostos!K253-Pressupostos!K255+Pressupostos!K256+H14</f>
        <v>0</v>
      </c>
      <c r="J14" s="309">
        <f>+Pressupostos!L252-Pressupostos!L253-Pressupostos!L255+Pressupostos!L256+I14</f>
        <v>0</v>
      </c>
    </row>
    <row r="15" spans="3:11" s="79" customFormat="1" ht="17.25" customHeight="1" x14ac:dyDescent="0.25">
      <c r="C15" s="721" t="s">
        <v>237</v>
      </c>
      <c r="D15" s="311"/>
      <c r="E15" s="722">
        <f ca="1">+SUM(E8:E14)-E12+SUM(D13:$E13)</f>
        <v>31000</v>
      </c>
      <c r="F15" s="722">
        <f ca="1">+SUM(F8:F14)-F12+SUM(E13:$E13)</f>
        <v>68944</v>
      </c>
      <c r="G15" s="722">
        <f ca="1">+SUM(G8:G14)-G12+SUM($E13:F13)</f>
        <v>115387.45600000001</v>
      </c>
      <c r="H15" s="722">
        <f ca="1">+SUM(H8:H14)-H12+SUM($E13:G13)</f>
        <v>172234.246144</v>
      </c>
      <c r="I15" s="722">
        <f ca="1">+SUM(I8:I14)-I12+SUM($E13:H13)</f>
        <v>241814.71728025601</v>
      </c>
      <c r="J15" s="722">
        <f ca="1">+SUM(J8:J14)-J12+SUM($E13:I13)</f>
        <v>326981.21395103337</v>
      </c>
      <c r="K15" s="353"/>
    </row>
    <row r="16" spans="3:11" s="717" customFormat="1" ht="4.5" customHeight="1" x14ac:dyDescent="0.25">
      <c r="C16" s="718" t="s">
        <v>237</v>
      </c>
      <c r="D16" s="725"/>
      <c r="E16" s="726"/>
      <c r="F16" s="726"/>
      <c r="G16" s="726"/>
      <c r="H16" s="726"/>
      <c r="I16" s="726"/>
      <c r="J16" s="719"/>
      <c r="K16" s="720"/>
    </row>
    <row r="17" spans="2:11" s="79" customFormat="1" ht="16.5" customHeight="1" x14ac:dyDescent="0.25">
      <c r="C17" s="723" t="s">
        <v>55</v>
      </c>
      <c r="D17" s="313"/>
      <c r="E17" s="724">
        <f ca="1">+(E15-D15)</f>
        <v>31000</v>
      </c>
      <c r="F17" s="724">
        <f ca="1">+(F15-E15)</f>
        <v>37944</v>
      </c>
      <c r="G17" s="724">
        <f t="shared" ref="G17:J17" ca="1" si="2">+(G15-F15)</f>
        <v>46443.456000000006</v>
      </c>
      <c r="H17" s="724">
        <f t="shared" ca="1" si="2"/>
        <v>56846.790143999999</v>
      </c>
      <c r="I17" s="724">
        <f t="shared" ca="1" si="2"/>
        <v>69580.471136256005</v>
      </c>
      <c r="J17" s="724">
        <f t="shared" ca="1" si="2"/>
        <v>85166.496670777356</v>
      </c>
      <c r="K17" s="353"/>
    </row>
    <row r="18" spans="2:11" s="79" customFormat="1" ht="17.25" customHeight="1" x14ac:dyDescent="0.25">
      <c r="C18" s="310" t="s">
        <v>238</v>
      </c>
      <c r="D18" s="313"/>
      <c r="E18" s="312">
        <f ca="1">+E17-E9</f>
        <v>31000</v>
      </c>
      <c r="F18" s="312">
        <f ca="1">+(F15-F9)-(E15-E9)</f>
        <v>37944</v>
      </c>
      <c r="G18" s="312">
        <f t="shared" ref="G18:J18" ca="1" si="3">+(G15-G9)-(F15-F9)</f>
        <v>46443.456000000006</v>
      </c>
      <c r="H18" s="312">
        <f t="shared" ca="1" si="3"/>
        <v>56846.790143999999</v>
      </c>
      <c r="I18" s="312">
        <f t="shared" ca="1" si="3"/>
        <v>69580.471136256005</v>
      </c>
      <c r="J18" s="312">
        <f t="shared" ca="1" si="3"/>
        <v>85166.496670777356</v>
      </c>
      <c r="K18" s="353"/>
    </row>
    <row r="19" spans="2:11" s="79" customFormat="1" ht="17.25" customHeight="1" x14ac:dyDescent="0.25">
      <c r="C19" s="702"/>
      <c r="D19" s="702"/>
      <c r="E19" s="703"/>
      <c r="F19" s="703"/>
      <c r="G19" s="703"/>
      <c r="H19" s="703"/>
      <c r="I19" s="703"/>
      <c r="J19" s="703"/>
      <c r="K19" s="353"/>
    </row>
    <row r="20" spans="2:11" customFormat="1" ht="15" x14ac:dyDescent="0.25">
      <c r="B20" s="21"/>
      <c r="C20" s="684" t="s">
        <v>660</v>
      </c>
      <c r="D20" s="685"/>
      <c r="E20" s="740"/>
      <c r="F20" s="740"/>
      <c r="G20" s="740"/>
      <c r="H20" s="740"/>
      <c r="I20" s="740"/>
      <c r="J20" s="740"/>
    </row>
    <row r="21" spans="2:11" customFormat="1" ht="15" x14ac:dyDescent="0.25">
      <c r="B21" s="21"/>
      <c r="D21" s="685"/>
      <c r="E21" s="7"/>
    </row>
    <row r="22" spans="2:11" customFormat="1" ht="15" x14ac:dyDescent="0.25">
      <c r="B22" s="21"/>
      <c r="D22" s="685"/>
      <c r="E22" s="7"/>
    </row>
    <row r="23" spans="2:11" customFormat="1" ht="15" x14ac:dyDescent="0.25">
      <c r="B23" s="21"/>
      <c r="D23" s="685"/>
      <c r="E23" s="7"/>
    </row>
    <row r="24" spans="2:11" ht="9.75" customHeight="1" x14ac:dyDescent="0.2"/>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J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K40"/>
  <sheetViews>
    <sheetView showGridLines="0" zoomScale="80" zoomScaleNormal="80" workbookViewId="0">
      <pane xSplit="3" ySplit="4" topLeftCell="D5" activePane="bottomRight" state="frozen"/>
      <selection pane="topRight" activeCell="E1" sqref="E1"/>
      <selection pane="bottomLeft" activeCell="A5" sqref="A5"/>
      <selection pane="bottomRight" activeCell="A12" sqref="A12:XFD33"/>
    </sheetView>
  </sheetViews>
  <sheetFormatPr defaultColWidth="9.140625" defaultRowHeight="12.75" x14ac:dyDescent="0.2"/>
  <cols>
    <col min="1" max="1" width="0.85546875" style="5" customWidth="1"/>
    <col min="2" max="2" width="5" style="5" customWidth="1"/>
    <col min="3" max="3" width="78.85546875" style="5" bestFit="1" customWidth="1"/>
    <col min="4" max="4" width="5.85546875" style="5" customWidth="1"/>
    <col min="5" max="10" width="10.85546875" style="5" customWidth="1"/>
    <col min="11" max="11" width="9.140625" style="3"/>
    <col min="12" max="16384" width="9.140625" style="5"/>
  </cols>
  <sheetData>
    <row r="1" spans="2:11" x14ac:dyDescent="0.2">
      <c r="C1" s="55"/>
      <c r="D1" s="63"/>
    </row>
    <row r="2" spans="2:11" s="195" customFormat="1" ht="20.25" customHeight="1" x14ac:dyDescent="0.25">
      <c r="C2" s="196" t="s">
        <v>672</v>
      </c>
      <c r="D2" s="197"/>
      <c r="E2" s="197"/>
      <c r="F2" s="197"/>
      <c r="G2" s="197"/>
      <c r="H2" s="197"/>
      <c r="I2" s="197"/>
      <c r="J2" s="197"/>
    </row>
    <row r="3" spans="2:11" x14ac:dyDescent="0.2">
      <c r="E3" s="405">
        <v>1</v>
      </c>
      <c r="F3" s="405">
        <v>2</v>
      </c>
      <c r="G3" s="405">
        <v>3</v>
      </c>
      <c r="H3" s="405">
        <v>4</v>
      </c>
      <c r="I3" s="405">
        <v>5</v>
      </c>
      <c r="J3" s="405">
        <v>6</v>
      </c>
    </row>
    <row r="4" spans="2:11" ht="13.5" thickBot="1" x14ac:dyDescent="0.25">
      <c r="C4" s="82" t="str">
        <f>+Capa!C13</f>
        <v>Gaming’Us</v>
      </c>
      <c r="D4" s="37"/>
      <c r="E4" s="39">
        <f>+AnoN</f>
        <v>2023</v>
      </c>
      <c r="F4" s="39">
        <f>+E4+1</f>
        <v>2024</v>
      </c>
      <c r="G4" s="39">
        <f t="shared" ref="G4:J5" si="0">+F4+1</f>
        <v>2025</v>
      </c>
      <c r="H4" s="39">
        <f t="shared" si="0"/>
        <v>2026</v>
      </c>
      <c r="I4" s="39">
        <f t="shared" si="0"/>
        <v>2027</v>
      </c>
      <c r="J4" s="39">
        <f t="shared" si="0"/>
        <v>2028</v>
      </c>
    </row>
    <row r="5" spans="2:11" ht="6.75" customHeight="1" thickTop="1" x14ac:dyDescent="0.2">
      <c r="E5" s="99">
        <v>2</v>
      </c>
      <c r="F5" s="99">
        <f>+E5+1</f>
        <v>3</v>
      </c>
      <c r="G5" s="99">
        <f t="shared" si="0"/>
        <v>4</v>
      </c>
      <c r="H5" s="99">
        <f t="shared" si="0"/>
        <v>5</v>
      </c>
      <c r="I5" s="99">
        <f t="shared" si="0"/>
        <v>6</v>
      </c>
      <c r="J5" s="99" t="e">
        <f>+#REF!+1</f>
        <v>#REF!</v>
      </c>
    </row>
    <row r="6" spans="2:11" ht="20.25" customHeight="1" x14ac:dyDescent="0.2">
      <c r="B6" s="104"/>
      <c r="C6" s="105" t="s">
        <v>259</v>
      </c>
      <c r="D6" s="60"/>
      <c r="E6" s="24">
        <f ca="1">+'1.Demonstração de Resultados'!E27</f>
        <v>40000</v>
      </c>
      <c r="F6" s="24">
        <f ca="1">+'1.Demonstração de Resultados'!F27</f>
        <v>48960</v>
      </c>
      <c r="G6" s="24">
        <f ca="1">+'1.Demonstração de Resultados'!G27</f>
        <v>59927.040000000001</v>
      </c>
      <c r="H6" s="24">
        <f ca="1">+'1.Demonstração de Resultados'!H27</f>
        <v>73350.696960000001</v>
      </c>
      <c r="I6" s="24">
        <f ca="1">+'1.Demonstração de Resultados'!I27</f>
        <v>89781.253079040005</v>
      </c>
      <c r="J6" s="24">
        <f ca="1">+'1.Demonstração de Resultados'!J27</f>
        <v>109892.25376874495</v>
      </c>
      <c r="K6" s="329"/>
    </row>
    <row r="7" spans="2:11" ht="17.25" customHeight="1" x14ac:dyDescent="0.2">
      <c r="B7" s="100" t="s">
        <v>192</v>
      </c>
      <c r="C7" s="101" t="s">
        <v>221</v>
      </c>
      <c r="D7" s="40"/>
      <c r="E7" s="23">
        <f t="shared" ref="E7:J7" ca="1" si="1">+E8+E9</f>
        <v>-9000</v>
      </c>
      <c r="F7" s="23">
        <f t="shared" ca="1" si="1"/>
        <v>-11016</v>
      </c>
      <c r="G7" s="23">
        <f t="shared" ca="1" si="1"/>
        <v>-13483.583999999999</v>
      </c>
      <c r="H7" s="23">
        <f t="shared" ca="1" si="1"/>
        <v>-16503.906815999999</v>
      </c>
      <c r="I7" s="23">
        <f t="shared" ca="1" si="1"/>
        <v>-20200.781942784</v>
      </c>
      <c r="J7" s="23">
        <f t="shared" ca="1" si="1"/>
        <v>-24725.757097967613</v>
      </c>
      <c r="K7" s="33"/>
    </row>
    <row r="8" spans="2:11" ht="17.25" customHeight="1" x14ac:dyDescent="0.2">
      <c r="B8" s="100" t="s">
        <v>192</v>
      </c>
      <c r="C8" s="106" t="s">
        <v>17</v>
      </c>
      <c r="D8" s="40"/>
      <c r="E8" s="23">
        <f ca="1">-IFERROR(IF(E33&gt;0,E33*Pressupostos!$D$18,0),"")</f>
        <v>-8400</v>
      </c>
      <c r="F8" s="23">
        <f ca="1">-IFERROR(IF(F33&gt;0,F33*Pressupostos!$D$18,0),"")</f>
        <v>-10281.6</v>
      </c>
      <c r="G8" s="23">
        <f ca="1">-IFERROR(IF(G33&gt;0,G33*Pressupostos!$D$18,0),"")</f>
        <v>-12584.678399999999</v>
      </c>
      <c r="H8" s="23">
        <f ca="1">-IFERROR(IF(H33&gt;0,H33*Pressupostos!$D$18,0),"")</f>
        <v>-15403.6463616</v>
      </c>
      <c r="I8" s="23">
        <f ca="1">-IFERROR(IF(I33&gt;0,I33*Pressupostos!$D$18,0),"")</f>
        <v>-18854.063146598401</v>
      </c>
      <c r="J8" s="23">
        <f ca="1">-IFERROR(IF(J33&gt;0,J33*Pressupostos!$D$18,0),"")</f>
        <v>-23077.373291436437</v>
      </c>
      <c r="K8" s="33"/>
    </row>
    <row r="9" spans="2:11" ht="17.25" customHeight="1" x14ac:dyDescent="0.2">
      <c r="B9" s="100" t="s">
        <v>192</v>
      </c>
      <c r="C9" s="106" t="s">
        <v>222</v>
      </c>
      <c r="D9" s="40"/>
      <c r="E9" s="23">
        <f ca="1">-IFERROR(IF(E33&gt;0,E33*Pressupostos!$D$19,0),"")</f>
        <v>-600</v>
      </c>
      <c r="F9" s="23">
        <f ca="1">-IFERROR(IF(F33&gt;0,F33*Pressupostos!$D$19,0),"")</f>
        <v>-734.4</v>
      </c>
      <c r="G9" s="23">
        <f ca="1">-IFERROR(IF(G33&gt;0,G33*Pressupostos!$D$19,0),"")</f>
        <v>-898.90559999999994</v>
      </c>
      <c r="H9" s="23">
        <f ca="1">-IFERROR(IF(H33&gt;0,H33*Pressupostos!$D$19,0),"")</f>
        <v>-1100.2604544000001</v>
      </c>
      <c r="I9" s="23">
        <f ca="1">-IFERROR(IF(I33&gt;0,I33*Pressupostos!$D$19,0),"")</f>
        <v>-1346.7187961856</v>
      </c>
      <c r="J9" s="23">
        <f ca="1">-IFERROR(IF(J33&gt;0,J33*Pressupostos!$D$19,0),"")</f>
        <v>-1648.3838065311743</v>
      </c>
      <c r="K9" s="33"/>
    </row>
    <row r="10" spans="2:11" ht="20.25" customHeight="1" x14ac:dyDescent="0.2">
      <c r="B10" s="104"/>
      <c r="C10" s="105" t="s">
        <v>100</v>
      </c>
      <c r="D10" s="60"/>
      <c r="E10" s="24">
        <f ca="1">+IFERROR(E6+E7,"")</f>
        <v>31000</v>
      </c>
      <c r="F10" s="24">
        <f t="shared" ref="F10:J10" ca="1" si="2">+IFERROR(F6+F7,"")</f>
        <v>37944</v>
      </c>
      <c r="G10" s="24">
        <f t="shared" ca="1" si="2"/>
        <v>46443.456000000006</v>
      </c>
      <c r="H10" s="24">
        <f t="shared" ca="1" si="2"/>
        <v>56846.790143999999</v>
      </c>
      <c r="I10" s="24">
        <f t="shared" ca="1" si="2"/>
        <v>69580.471136256005</v>
      </c>
      <c r="J10" s="24">
        <f t="shared" ca="1" si="2"/>
        <v>85166.496670777342</v>
      </c>
      <c r="K10" s="20"/>
    </row>
    <row r="11" spans="2:11" s="242" customFormat="1" ht="9.75" customHeight="1" x14ac:dyDescent="0.2">
      <c r="B11" s="480"/>
      <c r="C11" s="481"/>
      <c r="D11" s="410"/>
      <c r="E11" s="476"/>
      <c r="F11" s="476"/>
      <c r="G11" s="476"/>
      <c r="H11" s="476"/>
      <c r="I11" s="476"/>
      <c r="J11" s="476"/>
      <c r="K11" s="482"/>
    </row>
    <row r="12" spans="2:11" s="242" customFormat="1" ht="15" hidden="1" customHeight="1" x14ac:dyDescent="0.2">
      <c r="C12" s="491"/>
      <c r="D12" s="491"/>
      <c r="E12" s="491">
        <v>1</v>
      </c>
      <c r="F12" s="491">
        <v>2</v>
      </c>
      <c r="G12" s="491">
        <v>3</v>
      </c>
      <c r="H12" s="491">
        <v>4</v>
      </c>
      <c r="I12" s="491">
        <v>5</v>
      </c>
      <c r="J12" s="491">
        <v>6</v>
      </c>
      <c r="K12" s="475"/>
    </row>
    <row r="13" spans="2:11" s="242" customFormat="1" ht="15" hidden="1" customHeight="1" x14ac:dyDescent="0.2">
      <c r="C13" s="492" t="s">
        <v>376</v>
      </c>
      <c r="D13" s="492"/>
      <c r="E13" s="493">
        <f ca="1">+IF(E6&lt;=0,E6,0)</f>
        <v>0</v>
      </c>
      <c r="F13" s="492"/>
      <c r="G13" s="492"/>
      <c r="H13" s="492"/>
      <c r="I13" s="492"/>
      <c r="J13" s="492"/>
      <c r="K13" s="475"/>
    </row>
    <row r="14" spans="2:11" s="242" customFormat="1" ht="15" hidden="1" customHeight="1" x14ac:dyDescent="0.2">
      <c r="C14" s="494" t="s">
        <v>374</v>
      </c>
      <c r="D14" s="494"/>
      <c r="E14" s="495">
        <f ca="1">+IF(E$12&lt;=Pressupostos!$D$33,$E$13,0)</f>
        <v>0</v>
      </c>
      <c r="F14" s="495">
        <f ca="1">+IF(F$12&lt;=Pressupostos!$D$33,$E$13,0)</f>
        <v>0</v>
      </c>
      <c r="G14" s="495">
        <f ca="1">+IF(G$12&lt;=Pressupostos!$D$33,$E$13,0)</f>
        <v>0</v>
      </c>
      <c r="H14" s="495">
        <f ca="1">+IF(H$12&lt;=Pressupostos!$D$33,$E$13,0)</f>
        <v>0</v>
      </c>
      <c r="I14" s="495">
        <f ca="1">+IF(I$12&lt;=Pressupostos!$D$33,$E$13,0)</f>
        <v>0</v>
      </c>
      <c r="J14" s="495">
        <f>+IF(J$12&lt;=Pressupostos!$D$33,$E$13,0)</f>
        <v>0</v>
      </c>
      <c r="K14" s="475"/>
    </row>
    <row r="15" spans="2:11" s="242" customFormat="1" ht="15" hidden="1" customHeight="1" x14ac:dyDescent="0.2">
      <c r="C15" s="492"/>
      <c r="D15" s="492"/>
      <c r="E15" s="493"/>
      <c r="F15" s="493">
        <v>1</v>
      </c>
      <c r="G15" s="493">
        <v>2</v>
      </c>
      <c r="H15" s="493">
        <v>3</v>
      </c>
      <c r="I15" s="493">
        <v>4</v>
      </c>
      <c r="J15" s="493">
        <v>5</v>
      </c>
      <c r="K15" s="475"/>
    </row>
    <row r="16" spans="2:11" s="242" customFormat="1" ht="15" hidden="1" customHeight="1" x14ac:dyDescent="0.2">
      <c r="C16" s="492" t="s">
        <v>377</v>
      </c>
      <c r="D16" s="492"/>
      <c r="E16" s="492"/>
      <c r="F16" s="493">
        <f ca="1">+IF(F6&lt;=0,F6,0)</f>
        <v>0</v>
      </c>
      <c r="G16" s="492"/>
      <c r="H16" s="492"/>
      <c r="I16" s="492"/>
      <c r="J16" s="492"/>
      <c r="K16" s="475"/>
    </row>
    <row r="17" spans="2:11" s="242" customFormat="1" ht="15" hidden="1" customHeight="1" x14ac:dyDescent="0.2">
      <c r="C17" s="494" t="s">
        <v>374</v>
      </c>
      <c r="D17" s="494"/>
      <c r="E17" s="495"/>
      <c r="F17" s="495">
        <f ca="1">+IF(F$15&lt;=Pressupostos!$D$33,$F$16,0)</f>
        <v>0</v>
      </c>
      <c r="G17" s="495">
        <f ca="1">+IF(G$15&lt;=Pressupostos!$D$33,$F$16,0)</f>
        <v>0</v>
      </c>
      <c r="H17" s="495">
        <f ca="1">+IF(H$15&lt;=Pressupostos!$D$33,$F$16,0)</f>
        <v>0</v>
      </c>
      <c r="I17" s="495">
        <f ca="1">+IF(I$15&lt;=Pressupostos!$D$33,$F$16,0)</f>
        <v>0</v>
      </c>
      <c r="J17" s="495">
        <f ca="1">+IF(J$15&lt;=Pressupostos!$D$33,$F$16,0)</f>
        <v>0</v>
      </c>
      <c r="K17" s="476"/>
    </row>
    <row r="18" spans="2:11" s="242" customFormat="1" ht="15" hidden="1" customHeight="1" x14ac:dyDescent="0.2">
      <c r="C18" s="492"/>
      <c r="D18" s="492"/>
      <c r="E18" s="493"/>
      <c r="F18" s="493"/>
      <c r="G18" s="493">
        <v>1</v>
      </c>
      <c r="H18" s="493">
        <v>2</v>
      </c>
      <c r="I18" s="493">
        <v>3</v>
      </c>
      <c r="J18" s="493">
        <v>4</v>
      </c>
      <c r="K18" s="475"/>
    </row>
    <row r="19" spans="2:11" s="242" customFormat="1" ht="15" hidden="1" customHeight="1" x14ac:dyDescent="0.2">
      <c r="C19" s="492" t="s">
        <v>378</v>
      </c>
      <c r="D19" s="492"/>
      <c r="E19" s="492"/>
      <c r="F19" s="492"/>
      <c r="G19" s="493">
        <f ca="1">+IF(G6&lt;=0,G6,0)</f>
        <v>0</v>
      </c>
      <c r="H19" s="492"/>
      <c r="I19" s="492"/>
      <c r="J19" s="492"/>
      <c r="K19" s="475"/>
    </row>
    <row r="20" spans="2:11" s="242" customFormat="1" ht="15" hidden="1" customHeight="1" x14ac:dyDescent="0.2">
      <c r="C20" s="494" t="s">
        <v>374</v>
      </c>
      <c r="D20" s="494"/>
      <c r="E20" s="495"/>
      <c r="F20" s="495"/>
      <c r="G20" s="495">
        <f ca="1">+IF(G$18&lt;=Pressupostos!$D$33,$G$19,0)</f>
        <v>0</v>
      </c>
      <c r="H20" s="495">
        <f ca="1">+IF(H$18&lt;=Pressupostos!$D$33,$G$19,0)</f>
        <v>0</v>
      </c>
      <c r="I20" s="495">
        <f ca="1">+IF(I$18&lt;=Pressupostos!$D$33,$G$19,0)</f>
        <v>0</v>
      </c>
      <c r="J20" s="495">
        <f ca="1">+IF(J$18&lt;=Pressupostos!$D$33,$G$19,0)</f>
        <v>0</v>
      </c>
      <c r="K20" s="476"/>
    </row>
    <row r="21" spans="2:11" s="242" customFormat="1" ht="15" hidden="1" customHeight="1" x14ac:dyDescent="0.2">
      <c r="C21" s="492"/>
      <c r="D21" s="492"/>
      <c r="E21" s="493"/>
      <c r="F21" s="493"/>
      <c r="G21" s="493"/>
      <c r="H21" s="493">
        <v>1</v>
      </c>
      <c r="I21" s="493">
        <v>2</v>
      </c>
      <c r="J21" s="493">
        <v>3</v>
      </c>
      <c r="K21" s="475"/>
    </row>
    <row r="22" spans="2:11" s="242" customFormat="1" ht="15" hidden="1" customHeight="1" x14ac:dyDescent="0.2">
      <c r="C22" s="492" t="s">
        <v>379</v>
      </c>
      <c r="D22" s="492"/>
      <c r="E22" s="492"/>
      <c r="F22" s="492"/>
      <c r="G22" s="493"/>
      <c r="H22" s="493">
        <f ca="1">+IF(H6&lt;=0,H6,0)</f>
        <v>0</v>
      </c>
      <c r="I22" s="492"/>
      <c r="J22" s="492"/>
      <c r="K22" s="475"/>
    </row>
    <row r="23" spans="2:11" s="242" customFormat="1" ht="15" hidden="1" customHeight="1" x14ac:dyDescent="0.2">
      <c r="C23" s="494" t="s">
        <v>374</v>
      </c>
      <c r="D23" s="494"/>
      <c r="E23" s="495"/>
      <c r="F23" s="495"/>
      <c r="G23" s="495"/>
      <c r="H23" s="495">
        <f ca="1">+IF(H$21&lt;=Pressupostos!$D$33,$H$22,0)</f>
        <v>0</v>
      </c>
      <c r="I23" s="495">
        <f ca="1">+IF(I$21&lt;=Pressupostos!$D$33,$H$22,0)</f>
        <v>0</v>
      </c>
      <c r="J23" s="495">
        <f ca="1">+IF(J$21&lt;=Pressupostos!$D$33,$H$22,0)</f>
        <v>0</v>
      </c>
      <c r="K23" s="476"/>
    </row>
    <row r="24" spans="2:11" s="242" customFormat="1" ht="15" hidden="1" customHeight="1" x14ac:dyDescent="0.2">
      <c r="C24" s="494"/>
      <c r="D24" s="494"/>
      <c r="E24" s="494"/>
      <c r="F24" s="494"/>
      <c r="G24" s="494"/>
      <c r="H24" s="495"/>
      <c r="I24" s="494">
        <v>1</v>
      </c>
      <c r="J24" s="494">
        <v>2</v>
      </c>
      <c r="K24" s="475"/>
    </row>
    <row r="25" spans="2:11" s="242" customFormat="1" ht="15" hidden="1" customHeight="1" x14ac:dyDescent="0.2">
      <c r="C25" s="492" t="s">
        <v>380</v>
      </c>
      <c r="D25" s="492"/>
      <c r="E25" s="492"/>
      <c r="F25" s="492"/>
      <c r="G25" s="492"/>
      <c r="H25" s="492"/>
      <c r="I25" s="493">
        <f ca="1">+IF(I6&lt;=0,I6,0)</f>
        <v>0</v>
      </c>
      <c r="J25" s="492"/>
      <c r="K25" s="475"/>
    </row>
    <row r="26" spans="2:11" s="242" customFormat="1" ht="15" hidden="1" customHeight="1" x14ac:dyDescent="0.2">
      <c r="C26" s="494" t="s">
        <v>374</v>
      </c>
      <c r="D26" s="494"/>
      <c r="E26" s="495"/>
      <c r="F26" s="495"/>
      <c r="G26" s="495"/>
      <c r="H26" s="495"/>
      <c r="I26" s="495">
        <f ca="1">+IF(I$24&lt;=Pressupostos!$D$33,$I$25,0)</f>
        <v>0</v>
      </c>
      <c r="J26" s="495">
        <f ca="1">+IF(J$24&lt;=Pressupostos!$D$33,$I$25,0)</f>
        <v>0</v>
      </c>
      <c r="K26" s="475"/>
    </row>
    <row r="27" spans="2:11" s="242" customFormat="1" ht="15" hidden="1" customHeight="1" x14ac:dyDescent="0.2">
      <c r="C27" s="494"/>
      <c r="D27" s="494"/>
      <c r="E27" s="494"/>
      <c r="F27" s="494"/>
      <c r="G27" s="494"/>
      <c r="H27" s="495"/>
      <c r="I27" s="494"/>
      <c r="J27" s="494">
        <v>1</v>
      </c>
      <c r="K27" s="475"/>
    </row>
    <row r="28" spans="2:11" s="242" customFormat="1" ht="15" hidden="1" customHeight="1" x14ac:dyDescent="0.2">
      <c r="C28" s="492" t="s">
        <v>381</v>
      </c>
      <c r="D28" s="492"/>
      <c r="E28" s="492"/>
      <c r="F28" s="492"/>
      <c r="G28" s="492"/>
      <c r="H28" s="492"/>
      <c r="I28" s="492"/>
      <c r="J28" s="493">
        <f ca="1">+IF(J6&lt;=0,J6,0)</f>
        <v>0</v>
      </c>
      <c r="K28" s="475"/>
    </row>
    <row r="29" spans="2:11" s="242" customFormat="1" ht="15" hidden="1" customHeight="1" x14ac:dyDescent="0.2">
      <c r="C29" s="494" t="s">
        <v>374</v>
      </c>
      <c r="D29" s="494"/>
      <c r="E29" s="495"/>
      <c r="F29" s="495"/>
      <c r="G29" s="495"/>
      <c r="H29" s="495"/>
      <c r="I29" s="495"/>
      <c r="J29" s="495">
        <f ca="1">+IF(J$24&lt;=Pressupostos!$D$33,$I$25,0)</f>
        <v>0</v>
      </c>
      <c r="K29" s="475"/>
    </row>
    <row r="30" spans="2:11" s="242" customFormat="1" ht="15" hidden="1" customHeight="1" x14ac:dyDescent="0.2">
      <c r="C30" s="494" t="s">
        <v>375</v>
      </c>
      <c r="D30" s="494"/>
      <c r="E30" s="496">
        <f ca="1">+E14+E17+E20+E23+E26+SUM($E32:E32)</f>
        <v>0</v>
      </c>
      <c r="F30" s="496">
        <f ca="1">+F14+F17+F20+F23+F26+SUM($E32:F32)</f>
        <v>0</v>
      </c>
      <c r="G30" s="496">
        <f ca="1">+G14+G17+G20+G23+G26+SUM($E32:G32)</f>
        <v>0</v>
      </c>
      <c r="H30" s="496">
        <f ca="1">+H14+H17+H20+H23+H26+SUM($E32:H32)</f>
        <v>0</v>
      </c>
      <c r="I30" s="496">
        <f ca="1">+I14+I17+I20+I23+I26+SUM($E32:I32)</f>
        <v>0</v>
      </c>
      <c r="J30" s="496">
        <f ca="1">+J14+J17+J20+J23+J26+SUM($E32:J32)</f>
        <v>0</v>
      </c>
      <c r="K30" s="475"/>
    </row>
    <row r="31" spans="2:11" s="242" customFormat="1" ht="15" hidden="1" customHeight="1" x14ac:dyDescent="0.2">
      <c r="B31" s="477"/>
      <c r="C31" s="497" t="s">
        <v>382</v>
      </c>
      <c r="D31" s="50"/>
      <c r="E31" s="495">
        <f t="shared" ref="E31:J31" ca="1" si="3">+IF(E6&gt;=0,E6*0.7,0)</f>
        <v>28000</v>
      </c>
      <c r="F31" s="495">
        <f t="shared" ca="1" si="3"/>
        <v>34272</v>
      </c>
      <c r="G31" s="495">
        <f t="shared" ca="1" si="3"/>
        <v>41948.928</v>
      </c>
      <c r="H31" s="495">
        <f t="shared" ca="1" si="3"/>
        <v>51345.487871999998</v>
      </c>
      <c r="I31" s="495">
        <f t="shared" ca="1" si="3"/>
        <v>62846.877155328002</v>
      </c>
      <c r="J31" s="495">
        <f t="shared" ca="1" si="3"/>
        <v>76924.577638121467</v>
      </c>
      <c r="K31" s="478"/>
    </row>
    <row r="32" spans="2:11" s="242" customFormat="1" ht="15" hidden="1" customHeight="1" x14ac:dyDescent="0.2">
      <c r="C32" s="494" t="s">
        <v>383</v>
      </c>
      <c r="D32" s="494"/>
      <c r="E32" s="493">
        <f>IF(D30&lt;0,IF(-D30&lt;=E31,-D30,E31),0)</f>
        <v>0</v>
      </c>
      <c r="F32" s="493">
        <f t="shared" ref="F32:J32" ca="1" si="4">IF(E30&lt;0,IF(-E30&lt;=F31,-E30,F31),0)</f>
        <v>0</v>
      </c>
      <c r="G32" s="493">
        <f t="shared" ca="1" si="4"/>
        <v>0</v>
      </c>
      <c r="H32" s="493">
        <f t="shared" ca="1" si="4"/>
        <v>0</v>
      </c>
      <c r="I32" s="493">
        <f t="shared" ca="1" si="4"/>
        <v>0</v>
      </c>
      <c r="J32" s="493">
        <f t="shared" ca="1" si="4"/>
        <v>0</v>
      </c>
      <c r="K32" s="475"/>
    </row>
    <row r="33" spans="2:11" s="242" customFormat="1" ht="15" hidden="1" customHeight="1" x14ac:dyDescent="0.2">
      <c r="C33" s="498" t="s">
        <v>384</v>
      </c>
      <c r="D33" s="499"/>
      <c r="E33" s="500">
        <f t="shared" ref="E33:J33" ca="1" si="5">+E6-E32</f>
        <v>40000</v>
      </c>
      <c r="F33" s="500">
        <f t="shared" ca="1" si="5"/>
        <v>48960</v>
      </c>
      <c r="G33" s="500">
        <f t="shared" ca="1" si="5"/>
        <v>59927.040000000001</v>
      </c>
      <c r="H33" s="500">
        <f t="shared" ca="1" si="5"/>
        <v>73350.696960000001</v>
      </c>
      <c r="I33" s="500">
        <f t="shared" ca="1" si="5"/>
        <v>89781.253079040005</v>
      </c>
      <c r="J33" s="500">
        <f t="shared" ca="1" si="5"/>
        <v>109892.25376874495</v>
      </c>
      <c r="K33" s="475"/>
    </row>
    <row r="35" spans="2:11" x14ac:dyDescent="0.2">
      <c r="E35" s="479"/>
    </row>
    <row r="37" spans="2:11" customFormat="1" ht="15" x14ac:dyDescent="0.25">
      <c r="B37" s="21"/>
      <c r="C37" s="684" t="s">
        <v>660</v>
      </c>
      <c r="D37" s="685"/>
      <c r="E37" s="7"/>
    </row>
    <row r="38" spans="2:11" customFormat="1" ht="15" x14ac:dyDescent="0.25">
      <c r="B38" s="21"/>
      <c r="D38" s="685"/>
      <c r="E38" s="7"/>
    </row>
    <row r="39" spans="2:11" customFormat="1" ht="15" x14ac:dyDescent="0.25">
      <c r="B39" s="21"/>
      <c r="D39" s="685"/>
      <c r="E39" s="7"/>
    </row>
    <row r="40" spans="2:11" customFormat="1" ht="15" x14ac:dyDescent="0.25">
      <c r="B40" s="21"/>
      <c r="D40" s="685"/>
      <c r="E40" s="7"/>
    </row>
  </sheetData>
  <sheetProtection algorithmName="SHA-512" hashValue="bPz8IIrJ9bRfVNVXLQTBiiWW/5k+e1hKkdN6F4LPWBM7Sdr7W+vsk+EueC3+EUnH+0otyl1npbQq3+0jCEvPSg==" saltValue="/d4Q1hXE4wNoimpCRD4Xkw==" spinCount="100000" sheet="1" formatCells="0" formatColumns="0" formatRows="0" insertColumns="0" insertRows="0" insertHyperlinks="0" deleteColumns="0" deleteRows="0" sort="0" autoFilter="0" pivotTables="0"/>
  <conditionalFormatting sqref="E30:J30">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37:E40"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topLeftCell="A62" zoomScale="80" zoomScaleNormal="80" workbookViewId="0">
      <selection activeCell="D85" sqref="D85"/>
    </sheetView>
  </sheetViews>
  <sheetFormatPr defaultColWidth="9.140625" defaultRowHeight="12" x14ac:dyDescent="0.2"/>
  <cols>
    <col min="1" max="2" width="3.140625" style="3" customWidth="1"/>
    <col min="3" max="3" width="57" style="3" customWidth="1"/>
    <col min="4" max="8" width="10.42578125" style="2" customWidth="1"/>
    <col min="9" max="10" width="10.42578125" style="3" customWidth="1"/>
    <col min="11" max="25" width="9.140625" style="3" customWidth="1"/>
    <col min="26" max="16384" width="9.140625" style="3"/>
  </cols>
  <sheetData>
    <row r="2" spans="3:11" ht="17.25" customHeight="1" x14ac:dyDescent="0.25">
      <c r="C2" s="148" t="s">
        <v>716</v>
      </c>
      <c r="D2" s="594"/>
      <c r="E2" s="586"/>
      <c r="F2" s="586"/>
      <c r="G2" s="586"/>
      <c r="H2" s="586"/>
      <c r="I2" s="586"/>
      <c r="J2" s="586"/>
      <c r="K2" s="587"/>
    </row>
    <row r="3" spans="3:11" ht="5.25" customHeight="1" x14ac:dyDescent="0.2">
      <c r="C3" s="588"/>
      <c r="E3" s="562"/>
      <c r="F3" s="562"/>
      <c r="G3" s="562"/>
      <c r="H3" s="562"/>
      <c r="I3" s="562"/>
      <c r="J3" s="562"/>
      <c r="K3" s="587"/>
    </row>
    <row r="4" spans="3:11" ht="68.25" customHeight="1" x14ac:dyDescent="0.2">
      <c r="C4" s="950" t="s">
        <v>717</v>
      </c>
      <c r="D4" s="950"/>
      <c r="E4" s="950"/>
      <c r="F4" s="950"/>
      <c r="G4" s="950"/>
      <c r="H4" s="950"/>
      <c r="I4" s="950"/>
      <c r="J4" s="950"/>
      <c r="K4" s="950"/>
    </row>
    <row r="5" spans="3:11" ht="5.25" customHeight="1" x14ac:dyDescent="0.2">
      <c r="C5" s="588"/>
      <c r="E5" s="562"/>
      <c r="F5" s="562"/>
      <c r="G5" s="562"/>
      <c r="H5" s="562"/>
      <c r="I5" s="562"/>
      <c r="J5" s="562"/>
      <c r="K5" s="587"/>
    </row>
    <row r="6" spans="3:11" x14ac:dyDescent="0.2">
      <c r="C6" s="951" t="s">
        <v>718</v>
      </c>
      <c r="D6" s="952"/>
      <c r="E6" s="952"/>
      <c r="F6" s="952"/>
      <c r="G6" s="952"/>
      <c r="H6" s="952"/>
      <c r="I6" s="952"/>
      <c r="J6" s="953"/>
    </row>
    <row r="7" spans="3:11" ht="15.75" customHeight="1" x14ac:dyDescent="0.2">
      <c r="C7" s="588"/>
      <c r="E7" s="562"/>
      <c r="F7" s="562"/>
      <c r="G7" s="562"/>
      <c r="H7" s="562"/>
      <c r="I7" s="562"/>
      <c r="J7" s="562"/>
      <c r="K7" s="587"/>
    </row>
    <row r="8" spans="3:11" ht="12.75" x14ac:dyDescent="0.2">
      <c r="C8" s="842" t="s">
        <v>719</v>
      </c>
      <c r="D8" s="595"/>
      <c r="E8" s="595"/>
      <c r="F8" s="595"/>
      <c r="G8" s="595"/>
      <c r="H8" s="595"/>
      <c r="I8" s="596"/>
      <c r="J8" s="597"/>
    </row>
    <row r="9" spans="3:11" ht="5.25" customHeight="1" x14ac:dyDescent="0.2">
      <c r="C9" s="588"/>
      <c r="E9" s="562"/>
      <c r="F9" s="562"/>
      <c r="G9" s="562"/>
      <c r="H9" s="562"/>
      <c r="I9" s="562"/>
      <c r="J9" s="562"/>
      <c r="K9" s="587"/>
    </row>
    <row r="10" spans="3:11" s="600" customFormat="1" x14ac:dyDescent="0.2">
      <c r="C10" s="843" t="s">
        <v>720</v>
      </c>
      <c r="D10" s="598"/>
      <c r="E10" s="598"/>
      <c r="F10" s="598"/>
      <c r="G10" s="599" t="s">
        <v>721</v>
      </c>
      <c r="H10" s="598"/>
      <c r="J10" s="3"/>
    </row>
    <row r="11" spans="3:11" ht="24" x14ac:dyDescent="0.2">
      <c r="C11" s="844" t="s">
        <v>507</v>
      </c>
      <c r="D11" s="845" t="s">
        <v>508</v>
      </c>
      <c r="E11" s="845" t="s">
        <v>509</v>
      </c>
      <c r="F11" s="562"/>
      <c r="G11" s="954" t="s">
        <v>507</v>
      </c>
      <c r="H11" s="955"/>
      <c r="I11" s="846"/>
      <c r="J11" s="847" t="s">
        <v>508</v>
      </c>
      <c r="K11" s="847" t="s">
        <v>459</v>
      </c>
    </row>
    <row r="12" spans="3:11" ht="15" x14ac:dyDescent="0.25">
      <c r="C12" s="555" t="s">
        <v>455</v>
      </c>
      <c r="D12" s="557"/>
      <c r="E12" s="604">
        <v>1000</v>
      </c>
      <c r="G12" s="956" t="s">
        <v>461</v>
      </c>
      <c r="H12" s="957"/>
      <c r="I12" s="958"/>
      <c r="J12" s="557"/>
      <c r="K12" s="557"/>
    </row>
    <row r="13" spans="3:11" ht="15" x14ac:dyDescent="0.25">
      <c r="C13" s="555" t="s">
        <v>456</v>
      </c>
      <c r="D13" s="557"/>
      <c r="E13" s="604">
        <v>1200</v>
      </c>
      <c r="G13" s="956" t="s">
        <v>462</v>
      </c>
      <c r="H13" s="957"/>
      <c r="I13" s="958"/>
      <c r="J13" s="557"/>
      <c r="K13" s="557"/>
    </row>
    <row r="14" spans="3:11" ht="15" x14ac:dyDescent="0.25">
      <c r="C14" s="555" t="s">
        <v>457</v>
      </c>
      <c r="D14" s="557"/>
      <c r="E14" s="604">
        <v>1400</v>
      </c>
      <c r="G14" s="956" t="s">
        <v>463</v>
      </c>
      <c r="H14" s="957"/>
      <c r="I14" s="958"/>
      <c r="J14" s="557"/>
      <c r="K14" s="557"/>
    </row>
    <row r="15" spans="3:11" ht="15" x14ac:dyDescent="0.25">
      <c r="C15" s="555" t="s">
        <v>458</v>
      </c>
      <c r="D15" s="557"/>
      <c r="E15" s="557">
        <v>10</v>
      </c>
      <c r="G15" s="956" t="s">
        <v>464</v>
      </c>
      <c r="H15" s="957"/>
      <c r="I15" s="958"/>
      <c r="J15" s="557"/>
      <c r="K15" s="557"/>
    </row>
    <row r="16" spans="3:11" ht="15" x14ac:dyDescent="0.25">
      <c r="C16" s="555" t="s">
        <v>722</v>
      </c>
      <c r="D16" s="557"/>
      <c r="E16" s="557">
        <v>10</v>
      </c>
      <c r="G16" s="956" t="s">
        <v>465</v>
      </c>
      <c r="H16" s="957"/>
      <c r="I16" s="958"/>
      <c r="J16" s="557"/>
      <c r="K16" s="557"/>
    </row>
    <row r="17" spans="3:11" ht="15" x14ac:dyDescent="0.25">
      <c r="C17" s="555" t="s">
        <v>723</v>
      </c>
      <c r="D17" s="557"/>
      <c r="E17" s="557">
        <v>10</v>
      </c>
      <c r="G17" s="956" t="s">
        <v>466</v>
      </c>
      <c r="H17" s="957"/>
      <c r="I17" s="958"/>
      <c r="J17" s="557"/>
      <c r="K17" s="557"/>
    </row>
    <row r="18" spans="3:11" ht="15" x14ac:dyDescent="0.25">
      <c r="C18" s="555" t="s">
        <v>724</v>
      </c>
      <c r="D18" s="557"/>
      <c r="E18" s="557">
        <v>10</v>
      </c>
      <c r="G18" s="956" t="s">
        <v>467</v>
      </c>
      <c r="H18" s="957"/>
      <c r="I18" s="958"/>
      <c r="J18" s="557"/>
      <c r="K18" s="557"/>
    </row>
    <row r="19" spans="3:11" x14ac:dyDescent="0.2">
      <c r="C19" s="584" t="s">
        <v>510</v>
      </c>
      <c r="I19" s="2"/>
      <c r="J19" s="2"/>
      <c r="K19" s="2"/>
    </row>
    <row r="21" spans="3:11" x14ac:dyDescent="0.2">
      <c r="C21" s="588"/>
    </row>
    <row r="22" spans="3:11" ht="12.75" customHeight="1" x14ac:dyDescent="0.25">
      <c r="C22" s="848" t="s">
        <v>725</v>
      </c>
      <c r="D22" s="601"/>
      <c r="E22" s="601"/>
      <c r="F22" s="601"/>
      <c r="G22" s="601"/>
      <c r="H22" s="601"/>
      <c r="I22" s="589"/>
      <c r="J22" s="589"/>
    </row>
    <row r="23" spans="3:11" ht="5.25" customHeight="1" x14ac:dyDescent="0.25">
      <c r="C23" s="848"/>
      <c r="D23" s="601"/>
      <c r="E23" s="601"/>
      <c r="F23" s="601"/>
      <c r="G23" s="601"/>
      <c r="H23" s="601"/>
      <c r="I23" s="589"/>
      <c r="J23" s="589"/>
    </row>
    <row r="24" spans="3:11" ht="12.75" customHeight="1" x14ac:dyDescent="0.2">
      <c r="C24" s="849" t="s">
        <v>726</v>
      </c>
      <c r="D24" s="601"/>
      <c r="E24" s="601"/>
      <c r="F24" s="601"/>
      <c r="G24" s="601"/>
      <c r="H24" s="601"/>
      <c r="I24" s="589"/>
      <c r="J24" s="589"/>
    </row>
    <row r="25" spans="3:11" x14ac:dyDescent="0.2">
      <c r="C25" s="226" t="s">
        <v>727</v>
      </c>
      <c r="D25" s="602"/>
      <c r="E25" s="602"/>
      <c r="F25" s="602"/>
      <c r="G25" s="602"/>
      <c r="H25" s="602"/>
      <c r="I25" s="590"/>
      <c r="J25" s="590"/>
    </row>
    <row r="26" spans="3:11" x14ac:dyDescent="0.2">
      <c r="C26" s="226" t="s">
        <v>728</v>
      </c>
      <c r="D26" s="602"/>
      <c r="E26" s="602"/>
      <c r="F26" s="602"/>
      <c r="G26" s="602"/>
      <c r="H26" s="602"/>
      <c r="I26" s="590"/>
      <c r="J26" s="590"/>
    </row>
    <row r="27" spans="3:11" x14ac:dyDescent="0.2">
      <c r="C27" s="226" t="s">
        <v>729</v>
      </c>
      <c r="D27" s="602"/>
      <c r="E27" s="602"/>
      <c r="F27" s="602"/>
      <c r="G27" s="602"/>
      <c r="H27" s="602"/>
      <c r="I27" s="590"/>
      <c r="J27" s="590"/>
    </row>
    <row r="28" spans="3:11" ht="12.75" customHeight="1" x14ac:dyDescent="0.2">
      <c r="C28" s="226" t="s">
        <v>730</v>
      </c>
      <c r="D28" s="602"/>
      <c r="E28" s="602"/>
      <c r="F28" s="602"/>
      <c r="G28" s="602"/>
      <c r="H28" s="602"/>
      <c r="I28" s="590"/>
      <c r="J28" s="590"/>
    </row>
    <row r="29" spans="3:11" x14ac:dyDescent="0.2">
      <c r="C29" s="226" t="s">
        <v>731</v>
      </c>
      <c r="D29" s="602"/>
      <c r="E29" s="602"/>
      <c r="F29" s="602"/>
      <c r="G29" s="602"/>
      <c r="H29" s="602"/>
      <c r="I29" s="590"/>
      <c r="J29" s="590"/>
    </row>
    <row r="31" spans="3:11" ht="54" customHeight="1" x14ac:dyDescent="0.2">
      <c r="C31" s="948" t="s">
        <v>732</v>
      </c>
      <c r="D31" s="949"/>
      <c r="E31" s="949"/>
      <c r="F31" s="949"/>
      <c r="G31" s="949"/>
      <c r="H31" s="949"/>
      <c r="I31" s="949"/>
      <c r="J31" s="949"/>
      <c r="K31" s="949"/>
    </row>
    <row r="33" spans="3:11" ht="15" x14ac:dyDescent="0.25">
      <c r="C33" s="850" t="s">
        <v>490</v>
      </c>
      <c r="J33" s="3" t="s">
        <v>733</v>
      </c>
    </row>
    <row r="34" spans="3:11" x14ac:dyDescent="0.2">
      <c r="C34" s="851" t="s">
        <v>454</v>
      </c>
      <c r="D34" s="852" t="str">
        <f>+C12</f>
        <v>X1</v>
      </c>
      <c r="E34" s="852" t="str">
        <f>+C13</f>
        <v>X2</v>
      </c>
      <c r="F34" s="852" t="str">
        <f>+C14</f>
        <v>X3</v>
      </c>
      <c r="G34" s="852" t="str">
        <f>+C15</f>
        <v>X4</v>
      </c>
      <c r="H34" s="845" t="str">
        <f>+C16</f>
        <v>X5</v>
      </c>
      <c r="I34" s="845" t="str">
        <f>+C17</f>
        <v>X6</v>
      </c>
      <c r="J34" s="845" t="str">
        <f>+C18</f>
        <v>X7</v>
      </c>
    </row>
    <row r="35" spans="3:11" s="1" customFormat="1" x14ac:dyDescent="0.2">
      <c r="C35" s="582" t="s">
        <v>460</v>
      </c>
      <c r="D35" s="853">
        <f>++E12</f>
        <v>1000</v>
      </c>
      <c r="E35" s="853">
        <f>+E13</f>
        <v>1200</v>
      </c>
      <c r="F35" s="853">
        <f>+$E14</f>
        <v>1400</v>
      </c>
      <c r="G35" s="853">
        <f>+$E15</f>
        <v>10</v>
      </c>
      <c r="H35" s="853">
        <f>+$E16</f>
        <v>10</v>
      </c>
      <c r="I35" s="853">
        <f>+$E17</f>
        <v>10</v>
      </c>
      <c r="J35" s="853">
        <f>+$E18</f>
        <v>10</v>
      </c>
    </row>
    <row r="36" spans="3:11" x14ac:dyDescent="0.2">
      <c r="C36" s="2"/>
    </row>
    <row r="37" spans="3:11" ht="15" x14ac:dyDescent="0.25">
      <c r="C37" s="850" t="s">
        <v>491</v>
      </c>
      <c r="J37" s="3" t="s">
        <v>734</v>
      </c>
    </row>
    <row r="38" spans="3:11" ht="24" x14ac:dyDescent="0.2">
      <c r="C38" s="854" t="s">
        <v>735</v>
      </c>
      <c r="D38" s="852" t="str">
        <f>+D34</f>
        <v>X1</v>
      </c>
      <c r="E38" s="852" t="str">
        <f>+E34</f>
        <v>X2</v>
      </c>
      <c r="F38" s="852" t="str">
        <f t="shared" ref="F38:J38" si="0">+F34</f>
        <v>X3</v>
      </c>
      <c r="G38" s="852" t="str">
        <f t="shared" si="0"/>
        <v>X4</v>
      </c>
      <c r="H38" s="852" t="str">
        <f t="shared" si="0"/>
        <v>X5</v>
      </c>
      <c r="I38" s="852" t="str">
        <f t="shared" si="0"/>
        <v>X6</v>
      </c>
      <c r="J38" s="852" t="str">
        <f t="shared" si="0"/>
        <v>X7</v>
      </c>
    </row>
    <row r="39" spans="3:11" x14ac:dyDescent="0.2">
      <c r="C39" s="855" t="str">
        <f t="shared" ref="C39:C45" si="1">+G12</f>
        <v>Y1</v>
      </c>
      <c r="D39" s="557">
        <v>0.2</v>
      </c>
      <c r="E39" s="557">
        <v>3</v>
      </c>
      <c r="F39" s="557">
        <v>1</v>
      </c>
      <c r="G39" s="557"/>
      <c r="H39" s="557"/>
      <c r="I39" s="557"/>
      <c r="J39" s="557"/>
    </row>
    <row r="40" spans="3:11" x14ac:dyDescent="0.2">
      <c r="C40" s="855" t="str">
        <f t="shared" si="1"/>
        <v>Y2</v>
      </c>
      <c r="D40" s="557">
        <v>7</v>
      </c>
      <c r="E40" s="557">
        <v>10</v>
      </c>
      <c r="F40" s="557"/>
      <c r="G40" s="557"/>
      <c r="H40" s="557"/>
      <c r="I40" s="557"/>
      <c r="J40" s="557"/>
    </row>
    <row r="41" spans="3:11" x14ac:dyDescent="0.2">
      <c r="C41" s="855" t="str">
        <f t="shared" si="1"/>
        <v>Y3</v>
      </c>
      <c r="D41" s="557">
        <v>1.1000000000000001</v>
      </c>
      <c r="E41" s="557">
        <v>0.1</v>
      </c>
      <c r="F41" s="557"/>
      <c r="G41" s="557"/>
      <c r="H41" s="557"/>
      <c r="I41" s="557"/>
      <c r="J41" s="557"/>
    </row>
    <row r="42" spans="3:11" x14ac:dyDescent="0.2">
      <c r="C42" s="855" t="str">
        <f t="shared" si="1"/>
        <v>Y4</v>
      </c>
      <c r="D42" s="557">
        <v>200</v>
      </c>
      <c r="E42" s="557">
        <v>20</v>
      </c>
      <c r="F42" s="557">
        <v>30</v>
      </c>
      <c r="G42" s="557"/>
      <c r="H42" s="557"/>
      <c r="I42" s="557"/>
      <c r="J42" s="557"/>
    </row>
    <row r="43" spans="3:11" x14ac:dyDescent="0.2">
      <c r="C43" s="855" t="str">
        <f t="shared" si="1"/>
        <v>Y5</v>
      </c>
      <c r="D43" s="557"/>
      <c r="E43" s="557">
        <v>40</v>
      </c>
      <c r="F43" s="557"/>
      <c r="G43" s="557"/>
      <c r="H43" s="557"/>
      <c r="I43" s="557"/>
      <c r="J43" s="557"/>
    </row>
    <row r="44" spans="3:11" x14ac:dyDescent="0.2">
      <c r="C44" s="855" t="str">
        <f t="shared" si="1"/>
        <v>Y6</v>
      </c>
      <c r="D44" s="557"/>
      <c r="E44" s="557"/>
      <c r="F44" s="557">
        <v>0.2</v>
      </c>
      <c r="G44" s="557"/>
      <c r="H44" s="557"/>
      <c r="I44" s="557"/>
      <c r="J44" s="557"/>
    </row>
    <row r="45" spans="3:11" x14ac:dyDescent="0.2">
      <c r="C45" s="855" t="str">
        <f t="shared" si="1"/>
        <v>Y7</v>
      </c>
      <c r="D45" s="557"/>
      <c r="E45" s="557"/>
      <c r="F45" s="557">
        <v>26</v>
      </c>
      <c r="G45" s="557"/>
      <c r="H45" s="557"/>
      <c r="I45" s="557"/>
      <c r="J45" s="557"/>
    </row>
    <row r="46" spans="3:11" x14ac:dyDescent="0.2">
      <c r="I46" s="2"/>
      <c r="J46" s="2"/>
    </row>
    <row r="47" spans="3:11" ht="12.75" x14ac:dyDescent="0.2">
      <c r="C47" s="856" t="s">
        <v>492</v>
      </c>
      <c r="J47" s="3" t="s">
        <v>733</v>
      </c>
    </row>
    <row r="48" spans="3:11" ht="24" x14ac:dyDescent="0.2">
      <c r="C48" s="854" t="s">
        <v>735</v>
      </c>
      <c r="D48" s="852" t="str">
        <f>+D34</f>
        <v>X1</v>
      </c>
      <c r="E48" s="852" t="str">
        <f t="shared" ref="E48:J48" si="2">+E34</f>
        <v>X2</v>
      </c>
      <c r="F48" s="852" t="str">
        <f t="shared" si="2"/>
        <v>X3</v>
      </c>
      <c r="G48" s="852" t="str">
        <f t="shared" si="2"/>
        <v>X4</v>
      </c>
      <c r="H48" s="852" t="str">
        <f t="shared" si="2"/>
        <v>X5</v>
      </c>
      <c r="I48" s="852" t="str">
        <f t="shared" si="2"/>
        <v>X6</v>
      </c>
      <c r="J48" s="852" t="str">
        <f t="shared" si="2"/>
        <v>X7</v>
      </c>
      <c r="K48" s="845" t="s">
        <v>312</v>
      </c>
    </row>
    <row r="49" spans="3:11" x14ac:dyDescent="0.2">
      <c r="C49" s="855" t="str">
        <f>+C39</f>
        <v>Y1</v>
      </c>
      <c r="D49" s="605">
        <f t="shared" ref="D49:J55" si="3">+D39*D$35</f>
        <v>200</v>
      </c>
      <c r="E49" s="605">
        <f t="shared" si="3"/>
        <v>3600</v>
      </c>
      <c r="F49" s="605">
        <f t="shared" si="3"/>
        <v>1400</v>
      </c>
      <c r="G49" s="605">
        <f t="shared" si="3"/>
        <v>0</v>
      </c>
      <c r="H49" s="605">
        <f t="shared" si="3"/>
        <v>0</v>
      </c>
      <c r="I49" s="605">
        <f t="shared" si="3"/>
        <v>0</v>
      </c>
      <c r="J49" s="605">
        <f t="shared" si="3"/>
        <v>0</v>
      </c>
      <c r="K49" s="605">
        <f t="shared" ref="K49:K55" si="4">SUM(D49:J49)</f>
        <v>5200</v>
      </c>
    </row>
    <row r="50" spans="3:11" x14ac:dyDescent="0.2">
      <c r="C50" s="855" t="str">
        <f t="shared" ref="C50:C55" si="5">+C40</f>
        <v>Y2</v>
      </c>
      <c r="D50" s="605">
        <f t="shared" si="3"/>
        <v>7000</v>
      </c>
      <c r="E50" s="605">
        <f t="shared" si="3"/>
        <v>12000</v>
      </c>
      <c r="F50" s="605">
        <f t="shared" si="3"/>
        <v>0</v>
      </c>
      <c r="G50" s="605">
        <f t="shared" si="3"/>
        <v>0</v>
      </c>
      <c r="H50" s="605">
        <f t="shared" si="3"/>
        <v>0</v>
      </c>
      <c r="I50" s="605">
        <f t="shared" si="3"/>
        <v>0</v>
      </c>
      <c r="J50" s="605">
        <f t="shared" si="3"/>
        <v>0</v>
      </c>
      <c r="K50" s="605">
        <f t="shared" si="4"/>
        <v>19000</v>
      </c>
    </row>
    <row r="51" spans="3:11" x14ac:dyDescent="0.2">
      <c r="C51" s="855" t="str">
        <f t="shared" si="5"/>
        <v>Y3</v>
      </c>
      <c r="D51" s="605">
        <f t="shared" si="3"/>
        <v>1100</v>
      </c>
      <c r="E51" s="605">
        <f t="shared" si="3"/>
        <v>120</v>
      </c>
      <c r="F51" s="605">
        <f t="shared" si="3"/>
        <v>0</v>
      </c>
      <c r="G51" s="605">
        <f t="shared" si="3"/>
        <v>0</v>
      </c>
      <c r="H51" s="605">
        <f t="shared" si="3"/>
        <v>0</v>
      </c>
      <c r="I51" s="605">
        <f t="shared" si="3"/>
        <v>0</v>
      </c>
      <c r="J51" s="605">
        <f t="shared" si="3"/>
        <v>0</v>
      </c>
      <c r="K51" s="605">
        <f t="shared" si="4"/>
        <v>1220</v>
      </c>
    </row>
    <row r="52" spans="3:11" x14ac:dyDescent="0.2">
      <c r="C52" s="855" t="str">
        <f t="shared" si="5"/>
        <v>Y4</v>
      </c>
      <c r="D52" s="605">
        <v>100000</v>
      </c>
      <c r="E52" s="605">
        <f t="shared" si="3"/>
        <v>24000</v>
      </c>
      <c r="F52" s="605">
        <f t="shared" si="3"/>
        <v>42000</v>
      </c>
      <c r="G52" s="605">
        <f t="shared" si="3"/>
        <v>0</v>
      </c>
      <c r="H52" s="605">
        <f t="shared" si="3"/>
        <v>0</v>
      </c>
      <c r="I52" s="605">
        <f t="shared" si="3"/>
        <v>0</v>
      </c>
      <c r="J52" s="605">
        <f t="shared" si="3"/>
        <v>0</v>
      </c>
      <c r="K52" s="605">
        <f t="shared" si="4"/>
        <v>166000</v>
      </c>
    </row>
    <row r="53" spans="3:11" x14ac:dyDescent="0.2">
      <c r="C53" s="855" t="str">
        <f t="shared" si="5"/>
        <v>Y5</v>
      </c>
      <c r="D53" s="605">
        <f>+D43*D$35</f>
        <v>0</v>
      </c>
      <c r="E53" s="605">
        <f t="shared" si="3"/>
        <v>48000</v>
      </c>
      <c r="F53" s="605">
        <f t="shared" si="3"/>
        <v>0</v>
      </c>
      <c r="G53" s="605">
        <f t="shared" si="3"/>
        <v>0</v>
      </c>
      <c r="H53" s="605">
        <f t="shared" si="3"/>
        <v>0</v>
      </c>
      <c r="I53" s="605">
        <f t="shared" si="3"/>
        <v>0</v>
      </c>
      <c r="J53" s="605">
        <f t="shared" si="3"/>
        <v>0</v>
      </c>
      <c r="K53" s="605">
        <f t="shared" si="4"/>
        <v>48000</v>
      </c>
    </row>
    <row r="54" spans="3:11" ht="12.75" customHeight="1" x14ac:dyDescent="0.2">
      <c r="C54" s="855" t="str">
        <f t="shared" si="5"/>
        <v>Y6</v>
      </c>
      <c r="D54" s="605">
        <f>+D44*D$35</f>
        <v>0</v>
      </c>
      <c r="E54" s="605">
        <f t="shared" si="3"/>
        <v>0</v>
      </c>
      <c r="F54" s="605">
        <f t="shared" si="3"/>
        <v>280</v>
      </c>
      <c r="G54" s="605">
        <f t="shared" si="3"/>
        <v>0</v>
      </c>
      <c r="H54" s="605">
        <f t="shared" si="3"/>
        <v>0</v>
      </c>
      <c r="I54" s="605">
        <f t="shared" si="3"/>
        <v>0</v>
      </c>
      <c r="J54" s="605">
        <f t="shared" si="3"/>
        <v>0</v>
      </c>
      <c r="K54" s="605">
        <f t="shared" si="4"/>
        <v>280</v>
      </c>
    </row>
    <row r="55" spans="3:11" x14ac:dyDescent="0.2">
      <c r="C55" s="855" t="str">
        <f t="shared" si="5"/>
        <v>Y7</v>
      </c>
      <c r="D55" s="605">
        <f>+D45*D$35</f>
        <v>0</v>
      </c>
      <c r="E55" s="605">
        <f t="shared" si="3"/>
        <v>0</v>
      </c>
      <c r="F55" s="605">
        <f t="shared" si="3"/>
        <v>36400</v>
      </c>
      <c r="G55" s="605">
        <f t="shared" si="3"/>
        <v>0</v>
      </c>
      <c r="H55" s="605">
        <f t="shared" si="3"/>
        <v>0</v>
      </c>
      <c r="I55" s="605">
        <f t="shared" si="3"/>
        <v>0</v>
      </c>
      <c r="J55" s="605">
        <f t="shared" si="3"/>
        <v>0</v>
      </c>
      <c r="K55" s="605">
        <f t="shared" si="4"/>
        <v>36400</v>
      </c>
    </row>
    <row r="57" spans="3:11" x14ac:dyDescent="0.2">
      <c r="C57" s="603" t="s">
        <v>468</v>
      </c>
    </row>
    <row r="58" spans="3:11" x14ac:dyDescent="0.2">
      <c r="C58" s="857" t="s">
        <v>469</v>
      </c>
      <c r="D58" s="558" t="s">
        <v>470</v>
      </c>
    </row>
    <row r="59" spans="3:11" x14ac:dyDescent="0.2">
      <c r="C59" s="855" t="str">
        <f>+C49</f>
        <v>Y1</v>
      </c>
      <c r="D59" s="606">
        <v>10</v>
      </c>
    </row>
    <row r="60" spans="3:11" x14ac:dyDescent="0.2">
      <c r="C60" s="855" t="str">
        <f t="shared" ref="C60:C65" si="6">+C50</f>
        <v>Y2</v>
      </c>
      <c r="D60" s="606">
        <v>2</v>
      </c>
    </row>
    <row r="61" spans="3:11" x14ac:dyDescent="0.2">
      <c r="C61" s="855" t="str">
        <f t="shared" si="6"/>
        <v>Y3</v>
      </c>
      <c r="D61" s="606">
        <v>20</v>
      </c>
    </row>
    <row r="62" spans="3:11" x14ac:dyDescent="0.2">
      <c r="C62" s="855" t="str">
        <f t="shared" si="6"/>
        <v>Y4</v>
      </c>
      <c r="D62" s="606">
        <v>1</v>
      </c>
    </row>
    <row r="63" spans="3:11" x14ac:dyDescent="0.2">
      <c r="C63" s="855" t="str">
        <f t="shared" si="6"/>
        <v>Y5</v>
      </c>
      <c r="D63" s="606">
        <v>2.5</v>
      </c>
    </row>
    <row r="64" spans="3:11" x14ac:dyDescent="0.2">
      <c r="C64" s="855" t="str">
        <f t="shared" si="6"/>
        <v>Y6</v>
      </c>
      <c r="D64" s="606">
        <v>3</v>
      </c>
    </row>
    <row r="65" spans="3:12" x14ac:dyDescent="0.2">
      <c r="C65" s="855" t="str">
        <f t="shared" si="6"/>
        <v>Y7</v>
      </c>
      <c r="D65" s="606">
        <v>2</v>
      </c>
    </row>
    <row r="67" spans="3:12" ht="12.75" x14ac:dyDescent="0.2">
      <c r="C67" s="858" t="s">
        <v>493</v>
      </c>
      <c r="D67" s="607"/>
      <c r="E67" s="607"/>
      <c r="F67" s="607"/>
      <c r="G67" s="607"/>
      <c r="H67" s="607"/>
      <c r="K67" s="2" t="s">
        <v>736</v>
      </c>
    </row>
    <row r="68" spans="3:12" ht="24" x14ac:dyDescent="0.2">
      <c r="C68" s="854" t="s">
        <v>735</v>
      </c>
      <c r="D68" s="852" t="str">
        <f>+D34</f>
        <v>X1</v>
      </c>
      <c r="E68" s="852" t="str">
        <f t="shared" ref="E68:J68" si="7">+E34</f>
        <v>X2</v>
      </c>
      <c r="F68" s="852" t="str">
        <f t="shared" si="7"/>
        <v>X3</v>
      </c>
      <c r="G68" s="852" t="str">
        <f t="shared" si="7"/>
        <v>X4</v>
      </c>
      <c r="H68" s="852" t="str">
        <f t="shared" si="7"/>
        <v>X5</v>
      </c>
      <c r="I68" s="852" t="str">
        <f t="shared" si="7"/>
        <v>X6</v>
      </c>
      <c r="J68" s="852" t="str">
        <f t="shared" si="7"/>
        <v>X7</v>
      </c>
      <c r="K68" s="845" t="s">
        <v>312</v>
      </c>
    </row>
    <row r="69" spans="3:12" x14ac:dyDescent="0.2">
      <c r="C69" s="855" t="str">
        <f>+C59</f>
        <v>Y1</v>
      </c>
      <c r="D69" s="859">
        <f t="shared" ref="D69:J75" si="8">+$D59*D49</f>
        <v>2000</v>
      </c>
      <c r="E69" s="859">
        <f t="shared" si="8"/>
        <v>36000</v>
      </c>
      <c r="F69" s="859">
        <f t="shared" si="8"/>
        <v>14000</v>
      </c>
      <c r="G69" s="859">
        <f t="shared" si="8"/>
        <v>0</v>
      </c>
      <c r="H69" s="859">
        <f t="shared" si="8"/>
        <v>0</v>
      </c>
      <c r="I69" s="859">
        <f t="shared" si="8"/>
        <v>0</v>
      </c>
      <c r="J69" s="859">
        <f t="shared" si="8"/>
        <v>0</v>
      </c>
      <c r="K69" s="859">
        <f t="shared" ref="K69:K75" si="9">+SUM(D69:J69)</f>
        <v>52000</v>
      </c>
    </row>
    <row r="70" spans="3:12" x14ac:dyDescent="0.2">
      <c r="C70" s="855" t="str">
        <f t="shared" ref="C70:C75" si="10">+C60</f>
        <v>Y2</v>
      </c>
      <c r="D70" s="859">
        <f t="shared" si="8"/>
        <v>14000</v>
      </c>
      <c r="E70" s="859">
        <f t="shared" si="8"/>
        <v>24000</v>
      </c>
      <c r="F70" s="859">
        <f t="shared" si="8"/>
        <v>0</v>
      </c>
      <c r="G70" s="859">
        <f t="shared" si="8"/>
        <v>0</v>
      </c>
      <c r="H70" s="859">
        <f t="shared" si="8"/>
        <v>0</v>
      </c>
      <c r="I70" s="859">
        <f t="shared" si="8"/>
        <v>0</v>
      </c>
      <c r="J70" s="859">
        <f t="shared" si="8"/>
        <v>0</v>
      </c>
      <c r="K70" s="859">
        <f t="shared" si="9"/>
        <v>38000</v>
      </c>
    </row>
    <row r="71" spans="3:12" x14ac:dyDescent="0.2">
      <c r="C71" s="855" t="str">
        <f t="shared" si="10"/>
        <v>Y3</v>
      </c>
      <c r="D71" s="859">
        <f t="shared" si="8"/>
        <v>22000</v>
      </c>
      <c r="E71" s="859">
        <f t="shared" si="8"/>
        <v>2400</v>
      </c>
      <c r="F71" s="859">
        <f t="shared" si="8"/>
        <v>0</v>
      </c>
      <c r="G71" s="859">
        <f t="shared" si="8"/>
        <v>0</v>
      </c>
      <c r="H71" s="859">
        <f t="shared" si="8"/>
        <v>0</v>
      </c>
      <c r="I71" s="859">
        <f t="shared" si="8"/>
        <v>0</v>
      </c>
      <c r="J71" s="859">
        <f t="shared" si="8"/>
        <v>0</v>
      </c>
      <c r="K71" s="859">
        <f t="shared" si="9"/>
        <v>24400</v>
      </c>
    </row>
    <row r="72" spans="3:12" x14ac:dyDescent="0.2">
      <c r="C72" s="855" t="str">
        <f t="shared" si="10"/>
        <v>Y4</v>
      </c>
      <c r="D72" s="859">
        <f t="shared" si="8"/>
        <v>100000</v>
      </c>
      <c r="E72" s="859">
        <f t="shared" si="8"/>
        <v>24000</v>
      </c>
      <c r="F72" s="859">
        <f t="shared" si="8"/>
        <v>42000</v>
      </c>
      <c r="G72" s="859">
        <f t="shared" si="8"/>
        <v>0</v>
      </c>
      <c r="H72" s="859">
        <f t="shared" si="8"/>
        <v>0</v>
      </c>
      <c r="I72" s="859">
        <f t="shared" si="8"/>
        <v>0</v>
      </c>
      <c r="J72" s="859">
        <f t="shared" si="8"/>
        <v>0</v>
      </c>
      <c r="K72" s="859">
        <f t="shared" si="9"/>
        <v>166000</v>
      </c>
    </row>
    <row r="73" spans="3:12" x14ac:dyDescent="0.2">
      <c r="C73" s="855" t="str">
        <f t="shared" si="10"/>
        <v>Y5</v>
      </c>
      <c r="D73" s="859">
        <f t="shared" si="8"/>
        <v>0</v>
      </c>
      <c r="E73" s="859">
        <f t="shared" si="8"/>
        <v>120000</v>
      </c>
      <c r="F73" s="859">
        <f t="shared" si="8"/>
        <v>0</v>
      </c>
      <c r="G73" s="859">
        <f t="shared" si="8"/>
        <v>0</v>
      </c>
      <c r="H73" s="859">
        <f t="shared" si="8"/>
        <v>0</v>
      </c>
      <c r="I73" s="859">
        <f t="shared" si="8"/>
        <v>0</v>
      </c>
      <c r="J73" s="859">
        <f t="shared" si="8"/>
        <v>0</v>
      </c>
      <c r="K73" s="859">
        <f t="shared" si="9"/>
        <v>120000</v>
      </c>
    </row>
    <row r="74" spans="3:12" x14ac:dyDescent="0.2">
      <c r="C74" s="855" t="str">
        <f t="shared" si="10"/>
        <v>Y6</v>
      </c>
      <c r="D74" s="859">
        <f t="shared" si="8"/>
        <v>0</v>
      </c>
      <c r="E74" s="859">
        <f t="shared" si="8"/>
        <v>0</v>
      </c>
      <c r="F74" s="859">
        <f t="shared" si="8"/>
        <v>840</v>
      </c>
      <c r="G74" s="859">
        <f t="shared" si="8"/>
        <v>0</v>
      </c>
      <c r="H74" s="859">
        <f t="shared" si="8"/>
        <v>0</v>
      </c>
      <c r="I74" s="859">
        <f t="shared" si="8"/>
        <v>0</v>
      </c>
      <c r="J74" s="859">
        <f t="shared" si="8"/>
        <v>0</v>
      </c>
      <c r="K74" s="859">
        <f t="shared" si="9"/>
        <v>840</v>
      </c>
    </row>
    <row r="75" spans="3:12" x14ac:dyDescent="0.2">
      <c r="C75" s="855" t="str">
        <f t="shared" si="10"/>
        <v>Y7</v>
      </c>
      <c r="D75" s="859">
        <f t="shared" si="8"/>
        <v>0</v>
      </c>
      <c r="E75" s="859">
        <f t="shared" si="8"/>
        <v>0</v>
      </c>
      <c r="F75" s="859">
        <f t="shared" si="8"/>
        <v>72800</v>
      </c>
      <c r="G75" s="859">
        <f t="shared" si="8"/>
        <v>0</v>
      </c>
      <c r="H75" s="859">
        <f t="shared" si="8"/>
        <v>0</v>
      </c>
      <c r="I75" s="859">
        <f t="shared" si="8"/>
        <v>0</v>
      </c>
      <c r="J75" s="859">
        <f t="shared" si="8"/>
        <v>0</v>
      </c>
      <c r="K75" s="859">
        <f t="shared" si="9"/>
        <v>72800</v>
      </c>
    </row>
    <row r="76" spans="3:12" x14ac:dyDescent="0.2">
      <c r="C76" s="860"/>
      <c r="D76" s="861"/>
      <c r="E76" s="861"/>
      <c r="F76" s="861"/>
      <c r="G76" s="861"/>
      <c r="H76" s="861"/>
      <c r="I76" s="861"/>
      <c r="J76" s="861"/>
      <c r="K76" s="860"/>
    </row>
    <row r="77" spans="3:12" ht="12.75" x14ac:dyDescent="0.2">
      <c r="C77" s="862" t="s">
        <v>494</v>
      </c>
      <c r="D77" s="863">
        <f>SUM(D69:D75)</f>
        <v>138000</v>
      </c>
      <c r="E77" s="863">
        <f>SUM(E69:E75)</f>
        <v>206400</v>
      </c>
      <c r="F77" s="863">
        <f>SUM(F69:F75)</f>
        <v>129640</v>
      </c>
      <c r="G77" s="863">
        <f t="shared" ref="G77:J77" si="11">SUM(G69:G75)</f>
        <v>0</v>
      </c>
      <c r="H77" s="863">
        <f t="shared" si="11"/>
        <v>0</v>
      </c>
      <c r="I77" s="863">
        <f t="shared" si="11"/>
        <v>0</v>
      </c>
      <c r="J77" s="863">
        <f t="shared" si="11"/>
        <v>0</v>
      </c>
      <c r="K77" s="864">
        <f>SUM(D77:J77)</f>
        <v>474040</v>
      </c>
    </row>
    <row r="78" spans="3:12" x14ac:dyDescent="0.2">
      <c r="I78" s="2"/>
      <c r="J78" s="2"/>
      <c r="K78" s="2"/>
    </row>
    <row r="79" spans="3:12" x14ac:dyDescent="0.2">
      <c r="C79" s="610" t="s">
        <v>453</v>
      </c>
      <c r="D79" s="556">
        <v>1</v>
      </c>
      <c r="E79" s="556">
        <v>2</v>
      </c>
      <c r="I79" s="2"/>
      <c r="J79" s="2"/>
      <c r="K79" s="2"/>
      <c r="L79" s="609" t="s">
        <v>497</v>
      </c>
    </row>
    <row r="80" spans="3:12" x14ac:dyDescent="0.2">
      <c r="C80" s="865" t="s">
        <v>737</v>
      </c>
      <c r="D80" s="611">
        <v>1000000</v>
      </c>
      <c r="E80" s="611">
        <v>1100000</v>
      </c>
      <c r="F80" s="609" t="s">
        <v>497</v>
      </c>
      <c r="I80" s="2"/>
      <c r="J80" s="2"/>
      <c r="K80" s="2"/>
      <c r="L80" s="609" t="s">
        <v>497</v>
      </c>
    </row>
    <row r="81" spans="3:12" x14ac:dyDescent="0.2">
      <c r="C81" s="865" t="s">
        <v>738</v>
      </c>
      <c r="D81" s="608">
        <v>15</v>
      </c>
      <c r="E81" s="608">
        <v>15</v>
      </c>
      <c r="F81" s="609" t="s">
        <v>497</v>
      </c>
      <c r="I81" s="2"/>
      <c r="J81" s="2"/>
      <c r="K81" s="2"/>
      <c r="L81" s="609" t="s">
        <v>497</v>
      </c>
    </row>
    <row r="82" spans="3:12" x14ac:dyDescent="0.2">
      <c r="C82" s="865" t="s">
        <v>471</v>
      </c>
      <c r="D82" s="608">
        <v>365</v>
      </c>
      <c r="E82" s="608">
        <v>365</v>
      </c>
      <c r="F82" s="609" t="s">
        <v>497</v>
      </c>
      <c r="I82" s="2"/>
      <c r="J82" s="2"/>
      <c r="K82" s="2"/>
      <c r="L82" s="609"/>
    </row>
    <row r="83" spans="3:12" x14ac:dyDescent="0.2">
      <c r="C83" s="866" t="s">
        <v>511</v>
      </c>
      <c r="D83" s="867">
        <f>+K77</f>
        <v>474040</v>
      </c>
      <c r="E83" s="867">
        <f>+D83/D80*E80</f>
        <v>521444</v>
      </c>
      <c r="I83" s="2"/>
      <c r="J83" s="2"/>
      <c r="K83" s="2"/>
    </row>
    <row r="84" spans="3:12" x14ac:dyDescent="0.2">
      <c r="C84" s="866" t="s">
        <v>472</v>
      </c>
      <c r="D84" s="867">
        <f>+D81/D82*D83</f>
        <v>19481.095890410958</v>
      </c>
      <c r="E84" s="867">
        <f>+E81/E82*E83</f>
        <v>21429.205479452052</v>
      </c>
      <c r="F84" s="609" t="s">
        <v>512</v>
      </c>
      <c r="I84" s="2"/>
      <c r="J84" s="2"/>
      <c r="K84" s="2"/>
    </row>
    <row r="85" spans="3:12" x14ac:dyDescent="0.2">
      <c r="C85" s="866" t="s">
        <v>521</v>
      </c>
      <c r="D85" s="867">
        <f>+D84+D83</f>
        <v>493521.09589041094</v>
      </c>
      <c r="E85" s="867">
        <f>+E83+E84-D84</f>
        <v>523392.10958904109</v>
      </c>
      <c r="F85" s="609" t="s">
        <v>739</v>
      </c>
      <c r="I85" s="2"/>
      <c r="J85" s="2"/>
      <c r="K85" s="2"/>
    </row>
    <row r="86" spans="3:12" x14ac:dyDescent="0.2">
      <c r="C86" s="612" t="s">
        <v>513</v>
      </c>
      <c r="D86" s="868">
        <f>+D85/D80</f>
        <v>0.49352109589041093</v>
      </c>
      <c r="E86" s="613">
        <f>+E85/E80</f>
        <v>0.47581100871731008</v>
      </c>
      <c r="F86" s="869" t="s">
        <v>740</v>
      </c>
      <c r="G86" s="870"/>
      <c r="H86" s="870"/>
      <c r="I86" s="2"/>
      <c r="J86" s="2"/>
      <c r="K86" s="2"/>
    </row>
    <row r="88" spans="3:12" x14ac:dyDescent="0.2">
      <c r="C88" s="871" t="s">
        <v>473</v>
      </c>
      <c r="D88" s="872"/>
      <c r="E88" s="872"/>
      <c r="F88" s="872"/>
      <c r="G88" s="872"/>
      <c r="H88" s="872"/>
      <c r="I88" s="873"/>
      <c r="J88" s="873"/>
      <c r="K88" s="873"/>
    </row>
    <row r="89" spans="3:12" x14ac:dyDescent="0.2">
      <c r="C89" s="874" t="s">
        <v>453</v>
      </c>
      <c r="D89" s="875">
        <v>1</v>
      </c>
      <c r="E89" s="875">
        <v>2</v>
      </c>
      <c r="F89" s="875">
        <v>3</v>
      </c>
      <c r="G89" s="875">
        <v>4</v>
      </c>
      <c r="H89" s="875">
        <v>5</v>
      </c>
      <c r="I89" s="875">
        <v>6</v>
      </c>
      <c r="J89" s="875">
        <v>7</v>
      </c>
      <c r="K89" s="875">
        <v>8</v>
      </c>
    </row>
    <row r="90" spans="3:12" x14ac:dyDescent="0.2">
      <c r="C90" s="876" t="s">
        <v>496</v>
      </c>
      <c r="D90" s="557">
        <v>100</v>
      </c>
      <c r="E90" s="877">
        <v>120</v>
      </c>
      <c r="F90" s="877">
        <v>200</v>
      </c>
      <c r="G90" s="877">
        <f>+F90*1.2</f>
        <v>240</v>
      </c>
      <c r="H90" s="877">
        <f t="shared" ref="H90:K90" si="12">+G90*1.2</f>
        <v>288</v>
      </c>
      <c r="I90" s="877">
        <f t="shared" si="12"/>
        <v>345.59999999999997</v>
      </c>
      <c r="J90" s="877">
        <f t="shared" si="12"/>
        <v>414.71999999999997</v>
      </c>
      <c r="K90" s="877">
        <f t="shared" si="12"/>
        <v>497.66399999999993</v>
      </c>
    </row>
    <row r="91" spans="3:12" x14ac:dyDescent="0.2">
      <c r="C91" s="876" t="s">
        <v>495</v>
      </c>
      <c r="D91" s="557">
        <v>30</v>
      </c>
      <c r="E91" s="877">
        <f>+D91</f>
        <v>30</v>
      </c>
      <c r="F91" s="877">
        <f t="shared" ref="F91:K92" si="13">+E91</f>
        <v>30</v>
      </c>
      <c r="G91" s="877">
        <f t="shared" si="13"/>
        <v>30</v>
      </c>
      <c r="H91" s="877">
        <f t="shared" si="13"/>
        <v>30</v>
      </c>
      <c r="I91" s="877">
        <f t="shared" si="13"/>
        <v>30</v>
      </c>
      <c r="J91" s="877">
        <f t="shared" si="13"/>
        <v>30</v>
      </c>
      <c r="K91" s="877">
        <f t="shared" si="13"/>
        <v>30</v>
      </c>
    </row>
    <row r="92" spans="3:12" x14ac:dyDescent="0.2">
      <c r="C92" s="876" t="s">
        <v>471</v>
      </c>
      <c r="D92" s="557">
        <v>365</v>
      </c>
      <c r="E92" s="877">
        <f>+D92</f>
        <v>365</v>
      </c>
      <c r="F92" s="877">
        <f t="shared" si="13"/>
        <v>365</v>
      </c>
      <c r="G92" s="877">
        <f t="shared" si="13"/>
        <v>365</v>
      </c>
      <c r="H92" s="877">
        <f t="shared" si="13"/>
        <v>365</v>
      </c>
      <c r="I92" s="877">
        <f t="shared" si="13"/>
        <v>365</v>
      </c>
      <c r="J92" s="877">
        <f t="shared" si="13"/>
        <v>365</v>
      </c>
      <c r="K92" s="877">
        <f t="shared" si="13"/>
        <v>365</v>
      </c>
    </row>
    <row r="93" spans="3:12" x14ac:dyDescent="0.2">
      <c r="C93" s="878" t="s">
        <v>474</v>
      </c>
      <c r="D93" s="559">
        <v>40</v>
      </c>
      <c r="E93" s="879">
        <f>+D93/D90*E90</f>
        <v>48</v>
      </c>
      <c r="F93" s="879">
        <f>+E93/E90*F90</f>
        <v>80</v>
      </c>
      <c r="G93" s="879">
        <f t="shared" ref="G93:K93" si="14">+F93/F90*G90</f>
        <v>96</v>
      </c>
      <c r="H93" s="879">
        <f t="shared" si="14"/>
        <v>115.2</v>
      </c>
      <c r="I93" s="879">
        <f t="shared" si="14"/>
        <v>138.23999999999998</v>
      </c>
      <c r="J93" s="879">
        <f t="shared" si="14"/>
        <v>165.88799999999998</v>
      </c>
      <c r="K93" s="879">
        <f t="shared" si="14"/>
        <v>199.06559999999996</v>
      </c>
    </row>
    <row r="94" spans="3:12" x14ac:dyDescent="0.2">
      <c r="C94" s="878" t="s">
        <v>475</v>
      </c>
      <c r="D94" s="880">
        <f>+D91/365*D93</f>
        <v>3.2876712328767121</v>
      </c>
      <c r="E94" s="880">
        <f t="shared" ref="E94:K94" si="15">+E91/365*E93</f>
        <v>3.9452054794520546</v>
      </c>
      <c r="F94" s="880">
        <f t="shared" si="15"/>
        <v>6.5753424657534243</v>
      </c>
      <c r="G94" s="880">
        <f t="shared" si="15"/>
        <v>7.8904109589041092</v>
      </c>
      <c r="H94" s="880">
        <f t="shared" si="15"/>
        <v>9.4684931506849317</v>
      </c>
      <c r="I94" s="880">
        <f t="shared" si="15"/>
        <v>11.362191780821915</v>
      </c>
      <c r="J94" s="880">
        <f t="shared" si="15"/>
        <v>13.634630136986299</v>
      </c>
      <c r="K94" s="880">
        <f t="shared" si="15"/>
        <v>16.361556164383558</v>
      </c>
    </row>
    <row r="95" spans="3:12" x14ac:dyDescent="0.2">
      <c r="C95" s="878" t="s">
        <v>476</v>
      </c>
      <c r="D95" s="881">
        <f>+D93+D94</f>
        <v>43.287671232876711</v>
      </c>
      <c r="E95" s="881">
        <f>+E93+E94-D94</f>
        <v>48.657534246575345</v>
      </c>
      <c r="F95" s="881">
        <f>+F93+F94-E94</f>
        <v>82.630136986301366</v>
      </c>
      <c r="G95" s="881">
        <f t="shared" ref="G95:K95" si="16">+G93+G94-F94</f>
        <v>97.31506849315069</v>
      </c>
      <c r="H95" s="881">
        <f t="shared" si="16"/>
        <v>116.77808219178083</v>
      </c>
      <c r="I95" s="881">
        <f t="shared" si="16"/>
        <v>140.13369863013696</v>
      </c>
      <c r="J95" s="881">
        <f t="shared" si="16"/>
        <v>168.16043835616435</v>
      </c>
      <c r="K95" s="881">
        <f t="shared" si="16"/>
        <v>201.79252602739723</v>
      </c>
    </row>
    <row r="96" spans="3:12" x14ac:dyDescent="0.2">
      <c r="C96" s="882" t="s">
        <v>514</v>
      </c>
      <c r="D96" s="883">
        <f>+D95/D90</f>
        <v>0.43287671232876712</v>
      </c>
      <c r="E96" s="883">
        <f>+E95/E90</f>
        <v>0.40547945205479452</v>
      </c>
      <c r="F96" s="883">
        <f>+F95/F90</f>
        <v>0.41315068493150681</v>
      </c>
      <c r="G96" s="883">
        <f t="shared" ref="G96:K96" si="17">+G95/G90</f>
        <v>0.40547945205479452</v>
      </c>
      <c r="H96" s="883">
        <f t="shared" si="17"/>
        <v>0.40547945205479452</v>
      </c>
      <c r="I96" s="883">
        <f t="shared" si="17"/>
        <v>0.40547945205479446</v>
      </c>
      <c r="J96" s="883">
        <f t="shared" si="17"/>
        <v>0.40547945205479446</v>
      </c>
      <c r="K96" s="883">
        <f t="shared" si="17"/>
        <v>0.40547945205479452</v>
      </c>
    </row>
  </sheetData>
  <mergeCells count="11">
    <mergeCell ref="C31:K31"/>
    <mergeCell ref="C4:K4"/>
    <mergeCell ref="C6:J6"/>
    <mergeCell ref="G11:H11"/>
    <mergeCell ref="G12:I12"/>
    <mergeCell ref="G13:I13"/>
    <mergeCell ref="G14:I14"/>
    <mergeCell ref="G15:I15"/>
    <mergeCell ref="G16:I16"/>
    <mergeCell ref="G17:I17"/>
    <mergeCell ref="G18:I18"/>
  </mergeCells>
  <pageMargins left="0.7" right="0.7" top="0.75" bottom="0.75" header="0.3" footer="0.3"/>
  <pageSetup orientation="portrait"/>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4"/>
  <sheetViews>
    <sheetView showGridLines="0" topLeftCell="A16" zoomScale="80" zoomScaleNormal="80" workbookViewId="0">
      <selection activeCell="H33" sqref="H33"/>
    </sheetView>
  </sheetViews>
  <sheetFormatPr defaultColWidth="0" defaultRowHeight="12" x14ac:dyDescent="0.2"/>
  <cols>
    <col min="1" max="2" width="3.140625" style="3" customWidth="1"/>
    <col min="3" max="3" width="58.140625" style="3" customWidth="1"/>
    <col min="4" max="4" width="10.42578125" style="3" customWidth="1"/>
    <col min="5" max="5" width="11" style="3" customWidth="1"/>
    <col min="6" max="6" width="10.42578125" style="3" customWidth="1"/>
    <col min="7" max="7" width="9.140625" style="3" customWidth="1"/>
    <col min="8" max="8" width="30.85546875" style="3" customWidth="1"/>
    <col min="9" max="9" width="9.140625" style="3" customWidth="1"/>
    <col min="10" max="19" width="9.140625" style="3" hidden="1" customWidth="1"/>
    <col min="20" max="25" width="0" style="3" hidden="1" customWidth="1"/>
    <col min="26" max="16384" width="9.140625" style="3" hidden="1"/>
  </cols>
  <sheetData>
    <row r="2" spans="2:9" ht="17.25" customHeight="1" x14ac:dyDescent="0.25">
      <c r="C2" s="148" t="s">
        <v>515</v>
      </c>
      <c r="D2" s="585"/>
      <c r="E2" s="586"/>
      <c r="F2" s="586"/>
      <c r="G2" s="587"/>
      <c r="H2" s="587"/>
      <c r="I2" s="587"/>
    </row>
    <row r="3" spans="2:9" ht="5.25" customHeight="1" x14ac:dyDescent="0.2">
      <c r="C3" s="588"/>
      <c r="E3" s="562"/>
      <c r="F3" s="562"/>
      <c r="G3" s="587"/>
      <c r="H3" s="587"/>
      <c r="I3" s="587"/>
    </row>
    <row r="4" spans="2:9" x14ac:dyDescent="0.2">
      <c r="C4" s="588"/>
    </row>
    <row r="5" spans="2:9" x14ac:dyDescent="0.2">
      <c r="C5" s="884" t="s">
        <v>741</v>
      </c>
      <c r="D5" s="885"/>
      <c r="E5" s="603"/>
      <c r="F5" s="589"/>
    </row>
    <row r="6" spans="2:9" x14ac:dyDescent="0.2">
      <c r="C6" s="226" t="s">
        <v>742</v>
      </c>
      <c r="D6" s="590"/>
      <c r="E6" s="590"/>
      <c r="F6" s="590"/>
      <c r="H6" s="13"/>
    </row>
    <row r="7" spans="2:9" x14ac:dyDescent="0.2">
      <c r="C7" s="226"/>
      <c r="D7" s="590"/>
      <c r="E7" s="590"/>
      <c r="F7" s="590"/>
      <c r="H7" s="13"/>
    </row>
    <row r="8" spans="2:9" ht="15" x14ac:dyDescent="0.25">
      <c r="C8" s="850" t="s">
        <v>743</v>
      </c>
      <c r="D8" s="590"/>
      <c r="E8" s="590"/>
      <c r="F8" s="590"/>
    </row>
    <row r="9" spans="2:9" x14ac:dyDescent="0.2">
      <c r="C9" s="226" t="s">
        <v>744</v>
      </c>
      <c r="D9" s="590"/>
      <c r="E9" s="590"/>
      <c r="F9" s="590"/>
    </row>
    <row r="10" spans="2:9" x14ac:dyDescent="0.2">
      <c r="C10" s="226" t="s">
        <v>745</v>
      </c>
      <c r="D10" s="590"/>
      <c r="E10" s="590"/>
      <c r="F10" s="590"/>
    </row>
    <row r="11" spans="2:9" x14ac:dyDescent="0.2">
      <c r="C11" s="226" t="s">
        <v>746</v>
      </c>
      <c r="D11" s="590"/>
      <c r="E11" s="590"/>
      <c r="F11" s="590"/>
    </row>
    <row r="12" spans="2:9" ht="12.75" customHeight="1" x14ac:dyDescent="0.2">
      <c r="C12" s="226" t="s">
        <v>747</v>
      </c>
      <c r="D12" s="590"/>
      <c r="E12" s="590"/>
      <c r="F12" s="590"/>
    </row>
    <row r="13" spans="2:9" ht="13.5" x14ac:dyDescent="0.25">
      <c r="C13" s="226" t="s">
        <v>748</v>
      </c>
      <c r="D13" s="590"/>
      <c r="E13" s="590"/>
      <c r="F13" s="590"/>
    </row>
    <row r="14" spans="2:9" x14ac:dyDescent="0.2">
      <c r="C14" s="591"/>
    </row>
    <row r="15" spans="2:9" ht="15" customHeight="1" x14ac:dyDescent="0.2">
      <c r="B15" s="886"/>
      <c r="C15" s="887" t="s">
        <v>749</v>
      </c>
      <c r="D15" s="888"/>
      <c r="E15" s="889" t="s">
        <v>750</v>
      </c>
      <c r="F15" s="890"/>
      <c r="G15" s="890" t="s">
        <v>751</v>
      </c>
      <c r="H15" s="890"/>
    </row>
    <row r="16" spans="2:9" x14ac:dyDescent="0.2">
      <c r="B16" s="886"/>
      <c r="C16" s="891" t="s">
        <v>752</v>
      </c>
      <c r="D16" s="891"/>
      <c r="E16" s="892"/>
      <c r="F16" s="890"/>
      <c r="G16" s="890" t="s">
        <v>753</v>
      </c>
      <c r="H16" s="890"/>
    </row>
    <row r="17" spans="2:10" x14ac:dyDescent="0.2">
      <c r="B17" s="886"/>
      <c r="C17" s="893" t="s">
        <v>213</v>
      </c>
      <c r="D17" s="893"/>
      <c r="E17" s="894">
        <v>1000</v>
      </c>
      <c r="F17" s="890"/>
      <c r="G17" s="890"/>
      <c r="H17" s="890"/>
    </row>
    <row r="18" spans="2:10" x14ac:dyDescent="0.2">
      <c r="B18" s="886"/>
      <c r="C18" s="893" t="s">
        <v>175</v>
      </c>
      <c r="D18" s="893"/>
      <c r="E18" s="894">
        <v>0</v>
      </c>
      <c r="F18" s="890"/>
      <c r="G18" s="890"/>
      <c r="H18" s="890"/>
    </row>
    <row r="19" spans="2:10" x14ac:dyDescent="0.2">
      <c r="B19" s="886"/>
      <c r="C19" s="893" t="s">
        <v>522</v>
      </c>
      <c r="D19" s="893"/>
      <c r="E19" s="894">
        <v>0</v>
      </c>
      <c r="F19" s="890"/>
      <c r="G19" s="890"/>
      <c r="H19" s="890"/>
    </row>
    <row r="20" spans="2:10" x14ac:dyDescent="0.2">
      <c r="B20" s="886"/>
      <c r="C20" s="893" t="s">
        <v>177</v>
      </c>
      <c r="D20" s="893"/>
      <c r="E20" s="894">
        <v>10</v>
      </c>
      <c r="F20" s="890"/>
      <c r="G20" s="890"/>
      <c r="H20" s="890"/>
    </row>
    <row r="21" spans="2:10" x14ac:dyDescent="0.2">
      <c r="B21" s="886"/>
      <c r="C21" s="893" t="s">
        <v>178</v>
      </c>
      <c r="D21" s="893"/>
      <c r="E21" s="894">
        <v>0</v>
      </c>
      <c r="F21" s="890"/>
      <c r="G21" s="890"/>
      <c r="H21" s="890"/>
    </row>
    <row r="22" spans="2:10" ht="12.75" thickBot="1" x14ac:dyDescent="0.25">
      <c r="B22" s="886"/>
      <c r="C22" s="895" t="s">
        <v>478</v>
      </c>
      <c r="D22" s="895"/>
      <c r="E22" s="894">
        <f t="shared" ref="E22" si="0">SUM(E17:E21)</f>
        <v>1010</v>
      </c>
      <c r="F22" s="890"/>
      <c r="G22" s="890"/>
      <c r="H22" s="890"/>
    </row>
    <row r="23" spans="2:10" ht="12.75" thickBot="1" x14ac:dyDescent="0.25">
      <c r="B23" s="886"/>
      <c r="C23" s="893" t="s">
        <v>200</v>
      </c>
      <c r="D23" s="893"/>
      <c r="E23" s="894">
        <v>400</v>
      </c>
      <c r="F23" s="887" t="s">
        <v>754</v>
      </c>
      <c r="G23" s="896">
        <f>+E23/E17</f>
        <v>0.4</v>
      </c>
      <c r="H23" s="897" t="s">
        <v>755</v>
      </c>
    </row>
    <row r="24" spans="2:10" x14ac:dyDescent="0.2">
      <c r="B24" s="886"/>
      <c r="C24" s="893" t="s">
        <v>14</v>
      </c>
      <c r="D24" s="893"/>
      <c r="E24" s="894">
        <v>150</v>
      </c>
      <c r="F24" s="890"/>
      <c r="G24" s="890"/>
      <c r="H24" s="890"/>
    </row>
    <row r="25" spans="2:10" x14ac:dyDescent="0.2">
      <c r="B25" s="886"/>
      <c r="C25" s="893" t="s">
        <v>179</v>
      </c>
      <c r="D25" s="893"/>
      <c r="E25" s="894">
        <v>200</v>
      </c>
      <c r="F25" s="890"/>
      <c r="G25" s="890"/>
      <c r="H25" s="890"/>
    </row>
    <row r="26" spans="2:10" x14ac:dyDescent="0.2">
      <c r="B26" s="886"/>
      <c r="C26" s="898" t="s">
        <v>479</v>
      </c>
      <c r="D26" s="898"/>
      <c r="E26" s="894"/>
      <c r="F26" s="890"/>
      <c r="G26" s="890"/>
      <c r="H26" s="890"/>
    </row>
    <row r="27" spans="2:10" x14ac:dyDescent="0.2">
      <c r="B27" s="886"/>
      <c r="C27" s="895" t="s">
        <v>480</v>
      </c>
      <c r="D27" s="895"/>
      <c r="E27" s="894">
        <f>SUM(E23:E26)</f>
        <v>750</v>
      </c>
      <c r="F27" s="890"/>
      <c r="G27" s="890"/>
      <c r="H27" s="890"/>
    </row>
    <row r="28" spans="2:10" x14ac:dyDescent="0.2">
      <c r="B28" s="886"/>
      <c r="C28" s="895" t="s">
        <v>257</v>
      </c>
      <c r="D28" s="895"/>
      <c r="E28" s="894">
        <f>+E22-E27</f>
        <v>260</v>
      </c>
      <c r="F28" s="890"/>
      <c r="G28" s="890"/>
      <c r="H28" s="890"/>
    </row>
    <row r="29" spans="2:10" ht="24" customHeight="1" x14ac:dyDescent="0.2"/>
    <row r="30" spans="2:10" x14ac:dyDescent="0.2">
      <c r="C30" s="959" t="s">
        <v>718</v>
      </c>
      <c r="D30" s="959"/>
      <c r="E30" s="959"/>
      <c r="F30" s="959"/>
      <c r="G30" s="959"/>
      <c r="H30" s="959"/>
      <c r="J30" s="841"/>
    </row>
    <row r="31" spans="2:10" x14ac:dyDescent="0.2">
      <c r="C31" s="591"/>
      <c r="D31" s="593"/>
      <c r="E31" s="593"/>
      <c r="F31" s="593"/>
    </row>
    <row r="32" spans="2:10" ht="15.75" customHeight="1" x14ac:dyDescent="0.2">
      <c r="C32" s="856" t="s">
        <v>756</v>
      </c>
      <c r="D32" s="557" t="s">
        <v>485</v>
      </c>
      <c r="E32" s="557" t="s">
        <v>486</v>
      </c>
      <c r="F32" s="593"/>
    </row>
    <row r="33" spans="3:6" x14ac:dyDescent="0.2">
      <c r="C33" s="899" t="s">
        <v>477</v>
      </c>
      <c r="D33" s="900">
        <f>+'[2]A. Aux_Mat Prima % Vendas'!D80</f>
        <v>1000000</v>
      </c>
      <c r="E33" s="900">
        <f>+'[2]A. Aux_Mat Prima % Vendas'!E80</f>
        <v>1100000</v>
      </c>
      <c r="F33" s="593" t="s">
        <v>757</v>
      </c>
    </row>
    <row r="34" spans="3:6" ht="12.75" customHeight="1" x14ac:dyDescent="0.2">
      <c r="C34" s="901" t="s">
        <v>758</v>
      </c>
    </row>
    <row r="35" spans="3:6" ht="12.75" customHeight="1" x14ac:dyDescent="0.2">
      <c r="C35" s="6" t="s">
        <v>759</v>
      </c>
      <c r="D35" s="902">
        <f>'a. Aux_Mat Prima % Vendas'!D85</f>
        <v>493521.09589041094</v>
      </c>
      <c r="E35" s="902">
        <f>'a. Aux_Mat Prima % Vendas'!E85</f>
        <v>523392.10958904109</v>
      </c>
      <c r="F35" s="903" t="s">
        <v>760</v>
      </c>
    </row>
    <row r="36" spans="3:6" ht="12.75" customHeight="1" x14ac:dyDescent="0.2">
      <c r="C36" s="555" t="s">
        <v>761</v>
      </c>
      <c r="D36" s="904">
        <v>200000</v>
      </c>
      <c r="E36" s="904">
        <f>+D36*1.05</f>
        <v>210000</v>
      </c>
      <c r="F36" s="593" t="s">
        <v>762</v>
      </c>
    </row>
    <row r="37" spans="3:6" ht="12.75" customHeight="1" x14ac:dyDescent="0.2">
      <c r="C37" s="555" t="s">
        <v>516</v>
      </c>
      <c r="D37" s="905">
        <v>0</v>
      </c>
      <c r="E37" s="905">
        <v>0</v>
      </c>
      <c r="F37" s="903"/>
    </row>
    <row r="38" spans="3:6" ht="12.75" customHeight="1" x14ac:dyDescent="0.2">
      <c r="C38" s="906" t="s">
        <v>763</v>
      </c>
      <c r="D38" s="907">
        <f>+D35+D36+D37</f>
        <v>693521.09589041094</v>
      </c>
      <c r="E38" s="907">
        <f>+E35+E36+E37</f>
        <v>733392.10958904109</v>
      </c>
      <c r="F38" s="903" t="s">
        <v>481</v>
      </c>
    </row>
    <row r="39" spans="3:6" x14ac:dyDescent="0.2">
      <c r="C39" s="901" t="s">
        <v>764</v>
      </c>
      <c r="D39" s="868">
        <f>+D38/D33</f>
        <v>0.69352109589041089</v>
      </c>
      <c r="E39" s="614">
        <f>+E38/E33</f>
        <v>0.666720099626401</v>
      </c>
      <c r="F39" s="869" t="s">
        <v>765</v>
      </c>
    </row>
    <row r="40" spans="3:6" x14ac:dyDescent="0.2">
      <c r="C40" s="908" t="s">
        <v>766</v>
      </c>
      <c r="D40" s="909">
        <v>15</v>
      </c>
      <c r="E40" s="909">
        <v>15</v>
      </c>
      <c r="F40" s="960" t="s">
        <v>767</v>
      </c>
    </row>
    <row r="41" spans="3:6" x14ac:dyDescent="0.2">
      <c r="C41" s="910" t="s">
        <v>768</v>
      </c>
      <c r="D41" s="909">
        <v>365</v>
      </c>
      <c r="E41" s="909">
        <v>365</v>
      </c>
      <c r="F41" s="960"/>
    </row>
    <row r="42" spans="3:6" x14ac:dyDescent="0.2">
      <c r="C42" s="911" t="s">
        <v>517</v>
      </c>
      <c r="D42" s="900">
        <f>+D38*D40/D41</f>
        <v>28500.866954400452</v>
      </c>
      <c r="E42" s="900">
        <f>+E38*E40/E41</f>
        <v>30139.401763933198</v>
      </c>
      <c r="F42" s="960"/>
    </row>
    <row r="43" spans="3:6" x14ac:dyDescent="0.2">
      <c r="C43" s="911" t="s">
        <v>518</v>
      </c>
      <c r="D43" s="900">
        <f>+D42</f>
        <v>28500.866954400452</v>
      </c>
      <c r="E43" s="900">
        <f>+E42-D42</f>
        <v>1638.5348095327463</v>
      </c>
      <c r="F43" s="960"/>
    </row>
    <row r="44" spans="3:6" ht="9" customHeight="1" x14ac:dyDescent="0.2">
      <c r="C44" s="912" t="s">
        <v>769</v>
      </c>
      <c r="F44" s="593"/>
    </row>
    <row r="45" spans="3:6" ht="9" customHeight="1" x14ac:dyDescent="0.2"/>
    <row r="46" spans="3:6" ht="9" customHeight="1" x14ac:dyDescent="0.2"/>
    <row r="47" spans="3:6" ht="12.75" customHeight="1" x14ac:dyDescent="0.2"/>
    <row r="49" spans="3:9" x14ac:dyDescent="0.2">
      <c r="C49" s="913" t="s">
        <v>770</v>
      </c>
      <c r="D49" s="871" t="s">
        <v>484</v>
      </c>
      <c r="E49" s="871"/>
      <c r="F49" s="871"/>
      <c r="G49" s="871"/>
      <c r="H49" s="871"/>
      <c r="I49" s="871"/>
    </row>
    <row r="50" spans="3:9" x14ac:dyDescent="0.2">
      <c r="C50" s="914"/>
      <c r="D50" s="915" t="s">
        <v>485</v>
      </c>
      <c r="E50" s="915" t="s">
        <v>486</v>
      </c>
      <c r="F50" s="915" t="s">
        <v>487</v>
      </c>
      <c r="G50" s="873"/>
      <c r="H50" s="873"/>
      <c r="I50" s="873"/>
    </row>
    <row r="51" spans="3:9" x14ac:dyDescent="0.2">
      <c r="C51" s="916" t="s">
        <v>477</v>
      </c>
      <c r="D51" s="917">
        <v>1000</v>
      </c>
      <c r="E51" s="917">
        <v>1200</v>
      </c>
      <c r="F51" s="917">
        <v>1400</v>
      </c>
      <c r="G51" s="873"/>
      <c r="H51" s="873"/>
      <c r="I51" s="873"/>
    </row>
    <row r="52" spans="3:9" x14ac:dyDescent="0.2">
      <c r="C52" s="916" t="s">
        <v>81</v>
      </c>
      <c r="D52" s="918">
        <v>200</v>
      </c>
      <c r="E52" s="918">
        <f>+D52/D51*E51</f>
        <v>240</v>
      </c>
      <c r="F52" s="918">
        <f>+E52/E51*F51</f>
        <v>280</v>
      </c>
      <c r="G52" s="873" t="s">
        <v>771</v>
      </c>
      <c r="H52" s="873"/>
      <c r="I52" s="873"/>
    </row>
    <row r="53" spans="3:9" x14ac:dyDescent="0.2">
      <c r="C53" s="916" t="s">
        <v>482</v>
      </c>
      <c r="D53" s="918">
        <v>150</v>
      </c>
      <c r="E53" s="918">
        <v>160</v>
      </c>
      <c r="F53" s="918">
        <v>180</v>
      </c>
      <c r="G53" s="873" t="s">
        <v>772</v>
      </c>
      <c r="H53" s="873"/>
      <c r="I53" s="873"/>
    </row>
    <row r="54" spans="3:9" ht="12.75" thickBot="1" x14ac:dyDescent="0.25">
      <c r="C54" s="919" t="s">
        <v>488</v>
      </c>
      <c r="D54" s="920">
        <v>100</v>
      </c>
      <c r="E54" s="920">
        <v>110</v>
      </c>
      <c r="F54" s="920">
        <v>140</v>
      </c>
      <c r="G54" s="921" t="s">
        <v>773</v>
      </c>
      <c r="H54" s="873"/>
      <c r="I54" s="873"/>
    </row>
    <row r="55" spans="3:9" x14ac:dyDescent="0.2">
      <c r="C55" s="922" t="s">
        <v>774</v>
      </c>
      <c r="D55" s="923">
        <f>+D54+D53+D52</f>
        <v>450</v>
      </c>
      <c r="E55" s="923">
        <f t="shared" ref="E55:F55" si="1">+E54+E53+E52</f>
        <v>510</v>
      </c>
      <c r="F55" s="923">
        <f t="shared" si="1"/>
        <v>600</v>
      </c>
      <c r="G55" s="873" t="s">
        <v>775</v>
      </c>
      <c r="H55" s="873"/>
      <c r="I55" s="873"/>
    </row>
    <row r="56" spans="3:9" x14ac:dyDescent="0.2">
      <c r="C56" s="924" t="s">
        <v>483</v>
      </c>
      <c r="D56" s="925">
        <f>+D55/D51</f>
        <v>0.45</v>
      </c>
      <c r="E56" s="925">
        <f>+E55/E51</f>
        <v>0.42499999999999999</v>
      </c>
      <c r="F56" s="925">
        <f>+F55/F51</f>
        <v>0.42857142857142855</v>
      </c>
      <c r="G56" s="873"/>
      <c r="H56" s="873"/>
      <c r="I56" s="873"/>
    </row>
    <row r="57" spans="3:9" x14ac:dyDescent="0.2">
      <c r="C57" s="924" t="s">
        <v>776</v>
      </c>
      <c r="D57" s="918">
        <f>30/360*D55</f>
        <v>37.5</v>
      </c>
      <c r="E57" s="918">
        <f t="shared" ref="E57:F57" si="2">30/360*E55</f>
        <v>42.5</v>
      </c>
      <c r="F57" s="918">
        <f t="shared" si="2"/>
        <v>50</v>
      </c>
      <c r="G57" s="873" t="s">
        <v>777</v>
      </c>
      <c r="H57" s="873"/>
      <c r="I57" s="873"/>
    </row>
    <row r="58" spans="3:9" x14ac:dyDescent="0.2">
      <c r="C58" s="926" t="s">
        <v>489</v>
      </c>
      <c r="D58" s="927">
        <f>+D57</f>
        <v>37.5</v>
      </c>
      <c r="E58" s="927">
        <f>+E57-D57</f>
        <v>5</v>
      </c>
      <c r="F58" s="927">
        <f>+F57-E57</f>
        <v>7.5</v>
      </c>
      <c r="G58" s="873"/>
      <c r="H58" s="873"/>
      <c r="I58" s="873"/>
    </row>
    <row r="59" spans="3:9" ht="9" customHeight="1" x14ac:dyDescent="0.2"/>
    <row r="60" spans="3:9" x14ac:dyDescent="0.2">
      <c r="F60" s="592"/>
    </row>
    <row r="61" spans="3:9" x14ac:dyDescent="0.2">
      <c r="F61" s="592"/>
    </row>
    <row r="62" spans="3:9" ht="9" customHeight="1" x14ac:dyDescent="0.2"/>
    <row r="63" spans="3:9" ht="9" customHeight="1" x14ac:dyDescent="0.2"/>
    <row r="64" spans="3:9" ht="9" customHeight="1" x14ac:dyDescent="0.2"/>
  </sheetData>
  <mergeCells count="2">
    <mergeCell ref="C30:H30"/>
    <mergeCell ref="F40:F43"/>
  </mergeCells>
  <dataValidations count="1">
    <dataValidation allowBlank="1" showInputMessage="1" showErrorMessage="1" prompt="Período de vida útil do ativo (em anos) para cálculo de amortizações." sqref="E89:E91" xr:uid="{00000000-0002-0000-0F00-000000000000}"/>
  </dataValidation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0" tint="-0.49995422223578601"/>
  </sheetPr>
  <dimension ref="A10:A65"/>
  <sheetViews>
    <sheetView showGridLines="0" zoomScale="80" zoomScaleNormal="80" workbookViewId="0">
      <selection activeCell="S7" sqref="S7"/>
    </sheetView>
  </sheetViews>
  <sheetFormatPr defaultColWidth="8.85546875" defaultRowHeight="15" x14ac:dyDescent="0.25"/>
  <cols>
    <col min="7" max="7" width="5" bestFit="1" customWidth="1"/>
    <col min="8" max="12" width="5" customWidth="1"/>
  </cols>
  <sheetData>
    <row r="10" ht="12.75" customHeight="1" x14ac:dyDescent="0.25"/>
    <row r="12" ht="9" customHeight="1" x14ac:dyDescent="0.25"/>
    <row r="41" ht="9" customHeight="1" x14ac:dyDescent="0.25"/>
    <row r="43" ht="15.75" customHeight="1" x14ac:dyDescent="0.25"/>
    <row r="47" ht="15" customHeight="1" x14ac:dyDescent="0.25"/>
    <row r="50" ht="9" customHeight="1" x14ac:dyDescent="0.25"/>
    <row r="52" ht="12.75" customHeight="1" x14ac:dyDescent="0.25"/>
    <row r="53" ht="12.75" customHeight="1" x14ac:dyDescent="0.25"/>
    <row r="54" ht="12.75" customHeight="1" x14ac:dyDescent="0.25"/>
    <row r="55" ht="12.75" customHeight="1" x14ac:dyDescent="0.25"/>
    <row r="59" ht="9" customHeight="1" x14ac:dyDescent="0.25"/>
    <row r="60" ht="9" customHeight="1" x14ac:dyDescent="0.25"/>
    <row r="61" ht="9" customHeight="1" x14ac:dyDescent="0.25"/>
    <row r="62" ht="9" customHeight="1" x14ac:dyDescent="0.25"/>
    <row r="63" ht="9" customHeight="1" x14ac:dyDescent="0.25"/>
    <row r="64" ht="9" customHeight="1" x14ac:dyDescent="0.25"/>
    <row r="65" ht="9" customHeight="1" x14ac:dyDescent="0.25"/>
  </sheetData>
  <dataValidations count="1">
    <dataValidation allowBlank="1" showInputMessage="1" showErrorMessage="1" prompt="Período de vida útil do ativo (em anos) para cálculo de amortizações." sqref="E26:E29" xr:uid="{00000000-0002-0000-1000-000000000000}"/>
  </dataValidations>
  <pageMargins left="0.7" right="0.7" top="0.75" bottom="0.75" header="0.3" footer="0.3"/>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Folhas de Cálculo</vt:lpstr>
      </vt:variant>
      <vt:variant>
        <vt:i4>17</vt:i4>
      </vt:variant>
      <vt:variant>
        <vt:lpstr>Intervalos com Nome</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 Aux_outros</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Sérgio Costa</cp:lastModifiedBy>
  <cp:lastPrinted>2021-01-29T10:36:43Z</cp:lastPrinted>
  <dcterms:created xsi:type="dcterms:W3CDTF">2020-11-05T14:43:20Z</dcterms:created>
  <dcterms:modified xsi:type="dcterms:W3CDTF">2022-05-31T14:57:25Z</dcterms:modified>
  <cp:category/>
  <cp:contentStatus/>
</cp:coreProperties>
</file>